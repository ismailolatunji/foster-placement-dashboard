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PSN\BIRMINGHAM PBI\"/>
    </mc:Choice>
  </mc:AlternateContent>
  <xr:revisionPtr revIDLastSave="0" documentId="13_ncr:1_{860A52C1-7197-4296-8527-724E4B9B3930}" xr6:coauthVersionLast="47" xr6:coauthVersionMax="47" xr10:uidLastSave="{00000000-0000-0000-0000-000000000000}"/>
  <bookViews>
    <workbookView xWindow="0" yWindow="360" windowWidth="19395" windowHeight="11520" xr2:uid="{1333EF7F-4277-4CF9-86B1-6CE218CFA27C}"/>
  </bookViews>
  <sheets>
    <sheet name="Referrals" sheetId="5" r:id="rId1"/>
    <sheet name="Call Log" sheetId="8" r:id="rId2"/>
    <sheet name="Call Log Full" sheetId="7" r:id="rId3"/>
    <sheet name="POs" sheetId="3" r:id="rId4"/>
  </sheets>
  <definedNames>
    <definedName name="ExternalData_2" localSheetId="2" hidden="1">'Call Log Full'!$B$2:$C$380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5" l="1"/>
  <c r="F10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H4" i="5" a="1"/>
  <c r="H4" i="5" s="1"/>
  <c r="I4" i="5" s="1"/>
  <c r="H5" i="5" a="1"/>
  <c r="H5" i="5" s="1"/>
  <c r="I5" i="5" s="1"/>
  <c r="H6" i="5" a="1"/>
  <c r="H6" i="5" s="1"/>
  <c r="I6" i="5" s="1"/>
  <c r="H7" i="5" a="1"/>
  <c r="H7" i="5" s="1"/>
  <c r="I7" i="5" s="1"/>
  <c r="H8" i="5" a="1"/>
  <c r="H8" i="5" s="1"/>
  <c r="I8" i="5" s="1"/>
  <c r="H9" i="5" a="1"/>
  <c r="H9" i="5" s="1"/>
  <c r="I9" i="5" s="1"/>
  <c r="H10" i="5" a="1"/>
  <c r="H10" i="5" s="1"/>
  <c r="I10" i="5" s="1"/>
  <c r="H11" i="5" a="1"/>
  <c r="H11" i="5" s="1"/>
  <c r="I11" i="5" s="1"/>
  <c r="H12" i="5" a="1"/>
  <c r="H12" i="5" s="1"/>
  <c r="I12" i="5" s="1"/>
  <c r="H13" i="5" a="1"/>
  <c r="H13" i="5" s="1"/>
  <c r="I13" i="5" s="1"/>
  <c r="H14" i="5" a="1"/>
  <c r="H14" i="5" s="1"/>
  <c r="I14" i="5" s="1"/>
  <c r="H15" i="5" a="1"/>
  <c r="H15" i="5" s="1"/>
  <c r="I15" i="5" s="1"/>
  <c r="H16" i="5" a="1"/>
  <c r="H16" i="5" s="1"/>
  <c r="I16" i="5" s="1"/>
  <c r="H17" i="5" a="1"/>
  <c r="H17" i="5" s="1"/>
  <c r="I17" i="5" s="1"/>
  <c r="H18" i="5" a="1"/>
  <c r="H18" i="5" s="1"/>
  <c r="I18" i="5" s="1"/>
  <c r="H19" i="5" a="1"/>
  <c r="H19" i="5" s="1"/>
  <c r="I19" i="5" s="1"/>
  <c r="H20" i="5" a="1"/>
  <c r="H20" i="5" s="1"/>
  <c r="I20" i="5" s="1"/>
  <c r="H21" i="5" a="1"/>
  <c r="H21" i="5" s="1"/>
  <c r="I21" i="5" s="1"/>
  <c r="H22" i="5" a="1"/>
  <c r="H22" i="5" s="1"/>
  <c r="I22" i="5" s="1"/>
  <c r="H23" i="5" a="1"/>
  <c r="H23" i="5" s="1"/>
  <c r="I23" i="5" s="1"/>
  <c r="H24" i="5" a="1"/>
  <c r="H24" i="5" s="1"/>
  <c r="I24" i="5" s="1"/>
  <c r="H25" i="5" a="1"/>
  <c r="H25" i="5" s="1"/>
  <c r="I25" i="5" s="1"/>
  <c r="H26" i="5" a="1"/>
  <c r="H26" i="5" s="1"/>
  <c r="I26" i="5" s="1"/>
  <c r="H27" i="5" a="1"/>
  <c r="H27" i="5" s="1"/>
  <c r="I27" i="5" s="1"/>
  <c r="H28" i="5" a="1"/>
  <c r="H28" i="5" s="1"/>
  <c r="I28" i="5" s="1"/>
  <c r="H29" i="5" a="1"/>
  <c r="H29" i="5" s="1"/>
  <c r="I29" i="5" s="1"/>
  <c r="H30" i="5" a="1"/>
  <c r="H30" i="5" s="1"/>
  <c r="I30" i="5" s="1"/>
  <c r="H31" i="5" a="1"/>
  <c r="H31" i="5" s="1"/>
  <c r="I31" i="5" s="1"/>
  <c r="H32" i="5" a="1"/>
  <c r="H32" i="5" s="1"/>
  <c r="I32" i="5" s="1"/>
  <c r="H33" i="5" a="1"/>
  <c r="H33" i="5" s="1"/>
  <c r="I33" i="5" s="1"/>
  <c r="H34" i="5" a="1"/>
  <c r="H34" i="5" s="1"/>
  <c r="I34" i="5" s="1"/>
  <c r="H35" i="5" a="1"/>
  <c r="H35" i="5" s="1"/>
  <c r="I35" i="5" s="1"/>
  <c r="H36" i="5" a="1"/>
  <c r="H36" i="5" s="1"/>
  <c r="I36" i="5" s="1"/>
  <c r="H37" i="5" a="1"/>
  <c r="H37" i="5" s="1"/>
  <c r="I37" i="5" s="1"/>
  <c r="H38" i="5" a="1"/>
  <c r="H38" i="5" s="1"/>
  <c r="I38" i="5" s="1"/>
  <c r="H39" i="5" a="1"/>
  <c r="H39" i="5" s="1"/>
  <c r="I39" i="5" s="1"/>
  <c r="H40" i="5" a="1"/>
  <c r="H40" i="5" s="1"/>
  <c r="I40" i="5" s="1"/>
  <c r="H41" i="5" a="1"/>
  <c r="H41" i="5" s="1"/>
  <c r="I41" i="5" s="1"/>
  <c r="H42" i="5" a="1"/>
  <c r="H42" i="5" s="1"/>
  <c r="I42" i="5" s="1"/>
  <c r="H43" i="5" a="1"/>
  <c r="H43" i="5" s="1"/>
  <c r="I43" i="5" s="1"/>
  <c r="H44" i="5" a="1"/>
  <c r="H44" i="5" s="1"/>
  <c r="I44" i="5" s="1"/>
  <c r="H45" i="5" a="1"/>
  <c r="H45" i="5" s="1"/>
  <c r="I45" i="5" s="1"/>
  <c r="H46" i="5" a="1"/>
  <c r="H46" i="5" s="1"/>
  <c r="I46" i="5" s="1"/>
  <c r="H47" i="5" a="1"/>
  <c r="H47" i="5" s="1"/>
  <c r="I47" i="5" s="1"/>
  <c r="H48" i="5" a="1"/>
  <c r="H48" i="5" s="1"/>
  <c r="I48" i="5" s="1"/>
  <c r="H49" i="5" a="1"/>
  <c r="H49" i="5" s="1"/>
  <c r="I49" i="5" s="1"/>
  <c r="H50" i="5" a="1"/>
  <c r="H50" i="5" s="1"/>
  <c r="I50" i="5" s="1"/>
  <c r="H51" i="5" a="1"/>
  <c r="H51" i="5" s="1"/>
  <c r="I51" i="5" s="1"/>
  <c r="H52" i="5" a="1"/>
  <c r="H52" i="5" s="1"/>
  <c r="I52" i="5" s="1"/>
  <c r="H53" i="5" a="1"/>
  <c r="H53" i="5" s="1"/>
  <c r="I53" i="5" s="1"/>
  <c r="H54" i="5" a="1"/>
  <c r="H54" i="5" s="1"/>
  <c r="I54" i="5" s="1"/>
  <c r="H55" i="5" a="1"/>
  <c r="H55" i="5" s="1"/>
  <c r="I55" i="5" s="1"/>
  <c r="H56" i="5" a="1"/>
  <c r="H56" i="5" s="1"/>
  <c r="I56" i="5" s="1"/>
  <c r="H57" i="5" a="1"/>
  <c r="H57" i="5" s="1"/>
  <c r="I57" i="5" s="1"/>
  <c r="H58" i="5" a="1"/>
  <c r="H58" i="5" s="1"/>
  <c r="I58" i="5" s="1"/>
  <c r="H59" i="5" a="1"/>
  <c r="H59" i="5" s="1"/>
  <c r="I59" i="5" s="1"/>
  <c r="H60" i="5" a="1"/>
  <c r="H60" i="5" s="1"/>
  <c r="I60" i="5" s="1"/>
  <c r="H61" i="5" a="1"/>
  <c r="H61" i="5" s="1"/>
  <c r="I61" i="5" s="1"/>
  <c r="H62" i="5" a="1"/>
  <c r="H62" i="5" s="1"/>
  <c r="I62" i="5" s="1"/>
  <c r="H63" i="5" a="1"/>
  <c r="H63" i="5" s="1"/>
  <c r="I63" i="5" s="1"/>
  <c r="H64" i="5" a="1"/>
  <c r="H64" i="5" s="1"/>
  <c r="I64" i="5" s="1"/>
  <c r="H65" i="5" a="1"/>
  <c r="H65" i="5" s="1"/>
  <c r="I65" i="5" s="1"/>
  <c r="H66" i="5" a="1"/>
  <c r="H66" i="5" s="1"/>
  <c r="I66" i="5" s="1"/>
  <c r="H67" i="5" a="1"/>
  <c r="H67" i="5" s="1"/>
  <c r="I67" i="5" s="1"/>
  <c r="H68" i="5" a="1"/>
  <c r="H68" i="5" s="1"/>
  <c r="I68" i="5" s="1"/>
  <c r="H69" i="5" a="1"/>
  <c r="H69" i="5" s="1"/>
  <c r="I69" i="5" s="1"/>
  <c r="H70" i="5" a="1"/>
  <c r="H70" i="5" s="1"/>
  <c r="I70" i="5" s="1"/>
  <c r="H71" i="5" a="1"/>
  <c r="H71" i="5" s="1"/>
  <c r="I71" i="5" s="1"/>
  <c r="H72" i="5" a="1"/>
  <c r="H72" i="5" s="1"/>
  <c r="I72" i="5" s="1"/>
  <c r="H73" i="5" a="1"/>
  <c r="H73" i="5" s="1"/>
  <c r="I73" i="5" s="1"/>
  <c r="H74" i="5" a="1"/>
  <c r="H74" i="5" s="1"/>
  <c r="I74" i="5" s="1"/>
  <c r="H75" i="5" a="1"/>
  <c r="H75" i="5" s="1"/>
  <c r="I75" i="5" s="1"/>
  <c r="H76" i="5" a="1"/>
  <c r="H76" i="5" s="1"/>
  <c r="I76" i="5" s="1"/>
  <c r="H77" i="5" a="1"/>
  <c r="H77" i="5" s="1"/>
  <c r="I77" i="5" s="1"/>
  <c r="H78" i="5" a="1"/>
  <c r="H78" i="5" s="1"/>
  <c r="I78" i="5" s="1"/>
  <c r="H79" i="5" a="1"/>
  <c r="H79" i="5" s="1"/>
  <c r="I79" i="5" s="1"/>
  <c r="H80" i="5" a="1"/>
  <c r="H80" i="5" s="1"/>
  <c r="I80" i="5" s="1"/>
  <c r="H81" i="5" a="1"/>
  <c r="H81" i="5"/>
  <c r="I81" i="5" s="1"/>
  <c r="H82" i="5" a="1"/>
  <c r="H82" i="5" s="1"/>
  <c r="I82" i="5" s="1"/>
  <c r="H83" i="5" a="1"/>
  <c r="H83" i="5" s="1"/>
  <c r="I83" i="5" s="1"/>
  <c r="H84" i="5" a="1"/>
  <c r="H84" i="5" s="1"/>
  <c r="I84" i="5" s="1"/>
  <c r="H85" i="5" a="1"/>
  <c r="H85" i="5" s="1"/>
  <c r="I85" i="5" s="1"/>
  <c r="H86" i="5" a="1"/>
  <c r="H86" i="5" s="1"/>
  <c r="I86" i="5" s="1"/>
  <c r="H87" i="5" a="1"/>
  <c r="H87" i="5" s="1"/>
  <c r="I87" i="5" s="1"/>
  <c r="H88" i="5" a="1"/>
  <c r="H88" i="5" s="1"/>
  <c r="I88" i="5" s="1"/>
  <c r="H89" i="5" a="1"/>
  <c r="H89" i="5" s="1"/>
  <c r="I89" i="5" s="1"/>
  <c r="H90" i="5" a="1"/>
  <c r="H90" i="5" s="1"/>
  <c r="I90" i="5" s="1"/>
  <c r="H91" i="5" a="1"/>
  <c r="H91" i="5" s="1"/>
  <c r="I91" i="5" s="1"/>
  <c r="H92" i="5" a="1"/>
  <c r="H92" i="5" s="1"/>
  <c r="I92" i="5" s="1"/>
  <c r="H93" i="5" a="1"/>
  <c r="H93" i="5" s="1"/>
  <c r="I93" i="5" s="1"/>
  <c r="H94" i="5" a="1"/>
  <c r="H94" i="5" s="1"/>
  <c r="I94" i="5" s="1"/>
  <c r="H95" i="5" a="1"/>
  <c r="H95" i="5" s="1"/>
  <c r="I95" i="5" s="1"/>
  <c r="H96" i="5" a="1"/>
  <c r="H96" i="5" s="1"/>
  <c r="I96" i="5" s="1"/>
  <c r="H97" i="5" a="1"/>
  <c r="H97" i="5" s="1"/>
  <c r="I97" i="5" s="1"/>
  <c r="H98" i="5" a="1"/>
  <c r="H98" i="5" s="1"/>
  <c r="I98" i="5" s="1"/>
  <c r="H99" i="5" a="1"/>
  <c r="H99" i="5" s="1"/>
  <c r="I99" i="5" s="1"/>
  <c r="H100" i="5" a="1"/>
  <c r="H100" i="5" s="1"/>
  <c r="I100" i="5" s="1"/>
  <c r="H101" i="5" a="1"/>
  <c r="H101" i="5" s="1"/>
  <c r="I101" i="5" s="1"/>
  <c r="H102" i="5" a="1"/>
  <c r="H102" i="5" s="1"/>
  <c r="I102" i="5" s="1"/>
  <c r="H3" i="5" a="1"/>
  <c r="H3" i="5" s="1"/>
  <c r="I3" i="5" s="1"/>
  <c r="L8" i="5" l="1"/>
  <c r="K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0D3F82-0AC6-449D-BD52-79BFED1A43CA}" keepAlive="1" name="Query - Call Log" description="Connection to the 'Call Log' query in the workbook." type="5" refreshedVersion="8" background="1" saveData="1">
    <dbPr connection="Provider=Microsoft.Mashup.OleDb.1;Data Source=$Workbook$;Location=&quot;Call Log&quot;;Extended Properties=&quot;&quot;" command="SELECT * FROM [Call Log]"/>
  </connection>
  <connection id="2" xr16:uid="{0BD96A22-9397-4260-90D4-1FB776D2167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<sst xmlns="http://schemas.openxmlformats.org/spreadsheetml/2006/main" count="985" uniqueCount="86">
  <si>
    <t>Child Name</t>
  </si>
  <si>
    <t>Placement Officer Assigned</t>
  </si>
  <si>
    <t>Vacant carers</t>
  </si>
  <si>
    <t>Calls Made</t>
  </si>
  <si>
    <t>Referral ID</t>
  </si>
  <si>
    <t>Carer Found?</t>
  </si>
  <si>
    <t>Outcome</t>
  </si>
  <si>
    <t>Oliver Bennett</t>
  </si>
  <si>
    <t>Kwame Mensah</t>
  </si>
  <si>
    <t>Amelia Clarke</t>
  </si>
  <si>
    <t>Wei Li</t>
  </si>
  <si>
    <t>Isla MacLeod</t>
  </si>
  <si>
    <t>Louis Barker</t>
  </si>
  <si>
    <t>Aisha Khan</t>
  </si>
  <si>
    <t>Harper Simmons</t>
  </si>
  <si>
    <t>Rohan Choudhury</t>
  </si>
  <si>
    <t>Oscar Palmer</t>
  </si>
  <si>
    <t>Nancy Curtis</t>
  </si>
  <si>
    <t>Dominic Sharp</t>
  </si>
  <si>
    <t>Rosie Webb</t>
  </si>
  <si>
    <t>Meera Desai</t>
  </si>
  <si>
    <t>Hugo Fraser</t>
  </si>
  <si>
    <t>Chinedu Okafor</t>
  </si>
  <si>
    <t>Elliott Ford</t>
  </si>
  <si>
    <t>Bonnie Clarke</t>
  </si>
  <si>
    <t>Jacob Ahmed</t>
  </si>
  <si>
    <t>Phoebe Holmes</t>
  </si>
  <si>
    <t>Annabelle Webb</t>
  </si>
  <si>
    <t>Siobhan Murphy</t>
  </si>
  <si>
    <t>Alexander Cole</t>
  </si>
  <si>
    <t>Arjun Singh</t>
  </si>
  <si>
    <t>Arabella Hart</t>
  </si>
  <si>
    <t>Matthew Green</t>
  </si>
  <si>
    <t>Theo Walsh</t>
  </si>
  <si>
    <t>Layla Saunders</t>
  </si>
  <si>
    <t>Elsie Richardson</t>
  </si>
  <si>
    <t>Omar Al‑Masri</t>
  </si>
  <si>
    <t>Felix Morton</t>
  </si>
  <si>
    <t>Poppy Allen</t>
  </si>
  <si>
    <t>Amina Abdi</t>
  </si>
  <si>
    <t>Millie Russell</t>
  </si>
  <si>
    <t>James O’Connor</t>
  </si>
  <si>
    <t>Nathaniel Cross</t>
  </si>
  <si>
    <t>Esme Riley</t>
  </si>
  <si>
    <t>Henry Walsh</t>
  </si>
  <si>
    <t>Amelia Khan-Williams</t>
  </si>
  <si>
    <t>Imogen Fox</t>
  </si>
  <si>
    <t>Riley Newman</t>
  </si>
  <si>
    <t>Scarlett Boyd</t>
  </si>
  <si>
    <t>Martha Doyle</t>
  </si>
  <si>
    <t>Emily Stevens</t>
  </si>
  <si>
    <t>Harrison Scott</t>
  </si>
  <si>
    <t>Farah Hussain</t>
  </si>
  <si>
    <t>Arthur Mills</t>
  </si>
  <si>
    <t>Callum Webb</t>
  </si>
  <si>
    <t>Zara Hussain</t>
  </si>
  <si>
    <t>Gabriel Sutton</t>
  </si>
  <si>
    <t>Rochelle Lewis</t>
  </si>
  <si>
    <t>Rhys Davies</t>
  </si>
  <si>
    <t>Ruby Parker</t>
  </si>
  <si>
    <t>Hugo Lambert</t>
  </si>
  <si>
    <t>Lottie Chapman</t>
  </si>
  <si>
    <t>Sanjay Kapoor</t>
  </si>
  <si>
    <t>Name</t>
  </si>
  <si>
    <t>Ananya Joshi</t>
  </si>
  <si>
    <t>Declan McBride</t>
  </si>
  <si>
    <t>Fatima Noor</t>
  </si>
  <si>
    <t>Luca Romano</t>
  </si>
  <si>
    <t>Chen Wei</t>
  </si>
  <si>
    <t>Simran Kaur</t>
  </si>
  <si>
    <t>Kwesi Boateng</t>
  </si>
  <si>
    <t>Elinor Price</t>
  </si>
  <si>
    <t>Mateusz Kowalski</t>
  </si>
  <si>
    <t>Soraya Haddad</t>
  </si>
  <si>
    <t>Index</t>
  </si>
  <si>
    <t>Reason for Decline</t>
  </si>
  <si>
    <t>Not a good match for carer</t>
  </si>
  <si>
    <t/>
  </si>
  <si>
    <t>Carer cannot provide transport for YP</t>
  </si>
  <si>
    <t>Carer was incorrectly recorded as vacant</t>
  </si>
  <si>
    <t>Other</t>
  </si>
  <si>
    <t>Carer not trained in needs of YP</t>
  </si>
  <si>
    <t>Week Number</t>
  </si>
  <si>
    <t>Carer Accepted?</t>
  </si>
  <si>
    <t>Residential</t>
  </si>
  <si>
    <t>Fostering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</si>
</sst>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EAB9BCC-D823-4E7B-A5EA-293D32C840C2}" autoFormatId="16" applyNumberFormats="0" applyBorderFormats="0" applyFontFormats="0" applyPatternFormats="0" applyAlignmentFormats="0" applyWidthHeightFormats="0">
  <queryTableRefresh nextId="6" unboundColumnsRight="2">
    <queryTableFields count="4">
      <queryTableField id="1" name="Referral ID" tableColumnId="1"/>
      <queryTableField id="2" name="Index" tableColumnId="2"/>
      <queryTableField id="3" dataBound="0" tableColumnId="3"/>
      <queryTableField id="5" dataBound="0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4014B-2762-4A80-A1D9-BC497D9CDA6E}" name="Referral" displayName="Referral" ref="B2:I103" totalsRowCount="1">
  <autoFilter ref="B2:I102" xr:uid="{D014014B-2762-4A80-A1D9-BC497D9CDA6E}"/>
  <tableColumns count="8">
    <tableColumn id="1" xr3:uid="{F8E151DF-8996-4CF4-B1DE-2B7274774159}" name="Referral ID"/>
    <tableColumn id="8" xr3:uid="{A220F9F2-D559-4010-9285-36BA8CADAA6F}" name="Week Number" dataDxfId="4" totalsRowDxfId="5">
      <calculatedColumnFormula>CEILING(Referral[[#This Row],[Referral ID]]/50,1)</calculatedColumnFormula>
    </tableColumn>
    <tableColumn id="2" xr3:uid="{63E50064-715A-47AF-A700-5971212ECFC1}" name="Child Name"/>
    <tableColumn id="3" xr3:uid="{BE16079B-2823-4717-93A3-A6AFD3D0CDA0}" name="Placement Officer Assigned"/>
    <tableColumn id="4" xr3:uid="{46466AD7-FBB5-4968-9BF0-10A6653AC516}" name="Vacant carers" totalsRowFunction="custom">
      <totalsRowFormula>SUM(Referral[Vacant carers])</totalsRowFormula>
    </tableColumn>
    <tableColumn id="5" xr3:uid="{DE855A4B-35C6-4FC1-9FDD-7BA0066E9FBC}" name="Calls Made" totalsRowFunction="custom">
      <totalsRowFormula>SUM(Referral[Calls Made])</totalsRowFormula>
    </tableColumn>
    <tableColumn id="6" xr3:uid="{FBF5D882-FB83-43A0-B915-15F7B4EDCFD1}" name="Carer Found?" dataDxfId="2" totalsRowDxfId="3">
      <calculatedColumnFormula array="1">OR(_xlfn._xlws.FILTER('Call Log'!$D$4:$D$381,Table5[Referral ID]=Referral[[#This Row],[Referral ID]]))</calculatedColumnFormula>
    </tableColumn>
    <tableColumn id="7" xr3:uid="{627E6800-CF28-4391-89BB-8DF3536EA3A6}" name="Outcome" dataDxfId="0" totalsRowDxfId="1">
      <calculatedColumnFormula>IF(Referral[[#This Row],[Carer Found?]], "Fostering", "Residential")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31AA89-E45A-4FD9-91C1-62F7824D3E53}" name="Table5" displayName="Table5" ref="B2:E380" totalsRowShown="0">
  <autoFilter ref="B2:E380" xr:uid="{1B31AA89-E45A-4FD9-91C1-62F7824D3E53}"/>
  <tableColumns count="4">
    <tableColumn id="1" xr3:uid="{F0B79C5A-773B-4793-8B81-82AF6F4EA1B0}" name="Referral ID"/>
    <tableColumn id="2" xr3:uid="{625EF2DA-E2F6-46DB-ABD4-11AEE76F25DF}" name="Index"/>
    <tableColumn id="3" xr3:uid="{BEE586D4-F011-4C39-A669-B5BEA9E9369C}" name="Carer Accepted?"/>
    <tableColumn id="5" xr3:uid="{542A6F31-B047-4BC3-9D23-F218347C1A8F}" name="Reason for Declin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AB139D-C4A6-4CC2-BCC4-11B6ABF187A3}" name="Call_Log_Full" displayName="Call_Log_Full" ref="B2:E380" tableType="queryTable" totalsRowShown="0">
  <autoFilter ref="B2:E380" xr:uid="{1CAB139D-C4A6-4CC2-BCC4-11B6ABF187A3}">
    <filterColumn colId="3">
      <filters>
        <filter val="Carer was incorrectly recorded as vacant"/>
      </filters>
    </filterColumn>
  </autoFilter>
  <tableColumns count="4">
    <tableColumn id="1" xr3:uid="{0AF636D4-494F-418F-A10E-1819586EDC90}" uniqueName="1" name="Referral ID" queryTableFieldId="1"/>
    <tableColumn id="2" xr3:uid="{6B05A7D2-43FC-4ECA-9A2C-0CE3E5079197}" uniqueName="2" name="Index" queryTableFieldId="2"/>
    <tableColumn id="3" xr3:uid="{2DA78112-135D-4C9E-8E70-A37B02050C7B}" uniqueName="3" name="Carer Found?" queryTableFieldId="3" dataDxfId="7"/>
    <tableColumn id="6" xr3:uid="{9490704D-E61C-4F14-9EA5-D08E222680E1}" uniqueName="6" name="Reason for Decline" queryTableFieldId="5" dataDxfId="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8B3283-8B2F-4B31-AB04-AD006CAFB991}" name="PO" displayName="PO" ref="B2:B12" totalsRowShown="0" dataDxfId="9">
  <autoFilter ref="B2:B12" xr:uid="{3E8B3283-8B2F-4B31-AB04-AD006CAFB991}"/>
  <tableColumns count="1">
    <tableColumn id="1" xr3:uid="{EA2DBFE4-D559-41B0-AFAC-31D4F8BCC635}" name="Name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72418E-AB52-442E-B3C8-0025BDC0C090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7B76-15C1-4612-91A2-4BF6A41A7B48}">
  <dimension ref="B2:L103"/>
  <sheetViews>
    <sheetView showGridLines="0" tabSelected="1" zoomScale="85" zoomScaleNormal="85" workbookViewId="0">
      <selection activeCell="C54" sqref="C54:C102"/>
    </sheetView>
  </sheetViews>
  <sheetFormatPr defaultRowHeight="14.25" x14ac:dyDescent="0.45"/>
  <cols>
    <col min="1" max="1" width="4.19921875" customWidth="1"/>
    <col min="2" max="2" width="12.1328125" bestFit="1" customWidth="1"/>
    <col min="3" max="3" width="15" bestFit="1" customWidth="1"/>
    <col min="4" max="4" width="18.265625" bestFit="1" customWidth="1"/>
    <col min="5" max="5" width="26.1328125" bestFit="1" customWidth="1"/>
    <col min="6" max="6" width="14.3984375" bestFit="1" customWidth="1"/>
    <col min="7" max="7" width="12.3984375" bestFit="1" customWidth="1"/>
    <col min="8" max="8" width="14.19921875" bestFit="1" customWidth="1"/>
    <col min="9" max="9" width="10.86328125" bestFit="1" customWidth="1"/>
    <col min="11" max="11" width="9.9296875" bestFit="1" customWidth="1"/>
  </cols>
  <sheetData>
    <row r="2" spans="2:12" x14ac:dyDescent="0.45">
      <c r="B2" t="s">
        <v>4</v>
      </c>
      <c r="C2" t="s">
        <v>82</v>
      </c>
      <c r="D2" t="s">
        <v>0</v>
      </c>
      <c r="E2" t="s">
        <v>1</v>
      </c>
      <c r="F2" t="s">
        <v>2</v>
      </c>
      <c r="G2" t="s">
        <v>3</v>
      </c>
      <c r="H2" t="s">
        <v>5</v>
      </c>
      <c r="I2" t="s">
        <v>6</v>
      </c>
    </row>
    <row r="3" spans="2:12" x14ac:dyDescent="0.45">
      <c r="B3">
        <v>1</v>
      </c>
      <c r="C3">
        <f>CEILING(Referral[[#This Row],[Referral ID]]/50,1)</f>
        <v>1</v>
      </c>
      <c r="D3" t="s">
        <v>7</v>
      </c>
      <c r="E3" t="s">
        <v>68</v>
      </c>
      <c r="F3">
        <v>8</v>
      </c>
      <c r="G3">
        <v>7</v>
      </c>
      <c r="H3" t="b" cm="1">
        <f t="array" ref="H3">OR(_xlfn._xlws.FILTER('Call Log'!$D$4:$D$381,Table5[Referral ID]=Referral[[#This Row],[Referral ID]]))</f>
        <v>0</v>
      </c>
      <c r="I3" t="str">
        <f>IF(Referral[[#This Row],[Carer Found?]], "Fostering", "Residential")</f>
        <v>Residential</v>
      </c>
    </row>
    <row r="4" spans="2:12" x14ac:dyDescent="0.45">
      <c r="B4">
        <v>2</v>
      </c>
      <c r="C4">
        <f>CEILING(Referral[[#This Row],[Referral ID]]/50,1)</f>
        <v>1</v>
      </c>
      <c r="D4" t="s">
        <v>8</v>
      </c>
      <c r="E4" t="s">
        <v>68</v>
      </c>
      <c r="F4">
        <v>6</v>
      </c>
      <c r="G4">
        <v>5</v>
      </c>
      <c r="H4" t="b" cm="1">
        <f t="array" ref="H4">OR(_xlfn._xlws.FILTER('Call Log'!$D$4:$D$381,Table5[Referral ID]=Referral[[#This Row],[Referral ID]]))</f>
        <v>1</v>
      </c>
      <c r="I4" t="str">
        <f>IF(Referral[[#This Row],[Carer Found?]], "Fostering", "Residential")</f>
        <v>Fostering</v>
      </c>
    </row>
    <row r="5" spans="2:12" x14ac:dyDescent="0.45">
      <c r="B5">
        <v>3</v>
      </c>
      <c r="C5">
        <f>CEILING(Referral[[#This Row],[Referral ID]]/50,1)</f>
        <v>1</v>
      </c>
      <c r="D5" t="s">
        <v>9</v>
      </c>
      <c r="E5" t="s">
        <v>64</v>
      </c>
      <c r="F5">
        <v>10</v>
      </c>
      <c r="G5">
        <v>2</v>
      </c>
      <c r="H5" t="b" cm="1">
        <f t="array" ref="H5">OR(_xlfn._xlws.FILTER('Call Log'!$D$4:$D$381,Table5[Referral ID]=Referral[[#This Row],[Referral ID]]))</f>
        <v>1</v>
      </c>
      <c r="I5" t="str">
        <f>IF(Referral[[#This Row],[Carer Found?]], "Fostering", "Residential")</f>
        <v>Fostering</v>
      </c>
    </row>
    <row r="6" spans="2:12" x14ac:dyDescent="0.45">
      <c r="B6">
        <v>4</v>
      </c>
      <c r="C6">
        <f>CEILING(Referral[[#This Row],[Referral ID]]/50,1)</f>
        <v>1</v>
      </c>
      <c r="D6" t="s">
        <v>10</v>
      </c>
      <c r="E6" t="s">
        <v>69</v>
      </c>
      <c r="F6">
        <v>3</v>
      </c>
      <c r="G6">
        <v>3</v>
      </c>
      <c r="H6" t="b" cm="1">
        <f t="array" ref="H6">OR(_xlfn._xlws.FILTER('Call Log'!$D$4:$D$381,Table5[Referral ID]=Referral[[#This Row],[Referral ID]]))</f>
        <v>0</v>
      </c>
      <c r="I6" t="str">
        <f>IF(Referral[[#This Row],[Carer Found?]], "Fostering", "Residential")</f>
        <v>Residential</v>
      </c>
    </row>
    <row r="7" spans="2:12" x14ac:dyDescent="0.45">
      <c r="B7">
        <v>5</v>
      </c>
      <c r="C7">
        <f>CEILING(Referral[[#This Row],[Referral ID]]/50,1)</f>
        <v>1</v>
      </c>
      <c r="D7" t="s">
        <v>11</v>
      </c>
      <c r="E7" t="s">
        <v>72</v>
      </c>
      <c r="F7">
        <v>14</v>
      </c>
      <c r="G7">
        <v>6</v>
      </c>
      <c r="H7" t="b" cm="1">
        <f t="array" ref="H7">OR(_xlfn._xlws.FILTER('Call Log'!$D$4:$D$381,Table5[Referral ID]=Referral[[#This Row],[Referral ID]]))</f>
        <v>1</v>
      </c>
      <c r="I7" t="str">
        <f>IF(Referral[[#This Row],[Carer Found?]], "Fostering", "Residential")</f>
        <v>Fostering</v>
      </c>
      <c r="K7" s="2" t="s">
        <v>84</v>
      </c>
      <c r="L7" s="2" t="s">
        <v>85</v>
      </c>
    </row>
    <row r="8" spans="2:12" x14ac:dyDescent="0.45">
      <c r="B8">
        <v>6</v>
      </c>
      <c r="C8">
        <f>CEILING(Referral[[#This Row],[Referral ID]]/50,1)</f>
        <v>1</v>
      </c>
      <c r="D8" t="s">
        <v>12</v>
      </c>
      <c r="E8" t="s">
        <v>68</v>
      </c>
      <c r="F8">
        <v>4</v>
      </c>
      <c r="G8">
        <v>4</v>
      </c>
      <c r="H8" t="b" cm="1">
        <f t="array" ref="H8">OR(_xlfn._xlws.FILTER('Call Log'!$D$4:$D$381,Table5[Referral ID]=Referral[[#This Row],[Referral ID]]))</f>
        <v>0</v>
      </c>
      <c r="I8" t="str">
        <f>IF(Referral[[#This Row],[Carer Found?]], "Fostering", "Residential")</f>
        <v>Residential</v>
      </c>
      <c r="K8" s="2">
        <f>COUNTIF(Referral[Outcome],"Residential")</f>
        <v>40</v>
      </c>
      <c r="L8" s="2">
        <f>COUNTIF(Referral[Outcome],"Fostering")</f>
        <v>60</v>
      </c>
    </row>
    <row r="9" spans="2:12" x14ac:dyDescent="0.45">
      <c r="B9">
        <v>7</v>
      </c>
      <c r="C9">
        <f>CEILING(Referral[[#This Row],[Referral ID]]/50,1)</f>
        <v>1</v>
      </c>
      <c r="D9" t="s">
        <v>13</v>
      </c>
      <c r="E9" t="s">
        <v>71</v>
      </c>
      <c r="F9">
        <v>2</v>
      </c>
      <c r="G9">
        <v>2</v>
      </c>
      <c r="H9" t="b" cm="1">
        <f t="array" ref="H9">OR(_xlfn._xlws.FILTER('Call Log'!$D$4:$D$381,Table5[Referral ID]=Referral[[#This Row],[Referral ID]]))</f>
        <v>0</v>
      </c>
      <c r="I9" t="str">
        <f>IF(Referral[[#This Row],[Carer Found?]], "Fostering", "Residential")</f>
        <v>Residential</v>
      </c>
    </row>
    <row r="10" spans="2:12" x14ac:dyDescent="0.45">
      <c r="B10">
        <v>8</v>
      </c>
      <c r="C10">
        <f>CEILING(Referral[[#This Row],[Referral ID]]/50,1)</f>
        <v>1</v>
      </c>
      <c r="D10" t="s">
        <v>14</v>
      </c>
      <c r="E10" t="s">
        <v>66</v>
      </c>
      <c r="F10">
        <v>8</v>
      </c>
      <c r="G10">
        <v>6</v>
      </c>
      <c r="H10" t="b" cm="1">
        <f t="array" ref="H10">OR(_xlfn._xlws.FILTER('Call Log'!$D$4:$D$381,Table5[Referral ID]=Referral[[#This Row],[Referral ID]]))</f>
        <v>0</v>
      </c>
      <c r="I10" t="str">
        <f>IF(Referral[[#This Row],[Carer Found?]], "Fostering", "Residential")</f>
        <v>Residential</v>
      </c>
    </row>
    <row r="11" spans="2:12" x14ac:dyDescent="0.45">
      <c r="B11">
        <v>9</v>
      </c>
      <c r="C11">
        <f>CEILING(Referral[[#This Row],[Referral ID]]/50,1)</f>
        <v>1</v>
      </c>
      <c r="D11" t="s">
        <v>15</v>
      </c>
      <c r="E11" t="s">
        <v>71</v>
      </c>
      <c r="F11">
        <v>3</v>
      </c>
      <c r="G11">
        <v>3</v>
      </c>
      <c r="H11" t="b" cm="1">
        <f t="array" ref="H11">OR(_xlfn._xlws.FILTER('Call Log'!$D$4:$D$381,Table5[Referral ID]=Referral[[#This Row],[Referral ID]]))</f>
        <v>1</v>
      </c>
      <c r="I11" t="str">
        <f>IF(Referral[[#This Row],[Carer Found?]], "Fostering", "Residential")</f>
        <v>Fostering</v>
      </c>
    </row>
    <row r="12" spans="2:12" x14ac:dyDescent="0.45">
      <c r="B12">
        <v>10</v>
      </c>
      <c r="C12">
        <f>CEILING(Referral[[#This Row],[Referral ID]]/50,1)</f>
        <v>1</v>
      </c>
      <c r="D12" t="s">
        <v>16</v>
      </c>
      <c r="E12" t="s">
        <v>65</v>
      </c>
      <c r="F12">
        <v>11</v>
      </c>
      <c r="G12">
        <v>6</v>
      </c>
      <c r="H12" t="b" cm="1">
        <f t="array" ref="H12">OR(_xlfn._xlws.FILTER('Call Log'!$D$4:$D$381,Table5[Referral ID]=Referral[[#This Row],[Referral ID]]))</f>
        <v>1</v>
      </c>
      <c r="I12" t="str">
        <f>IF(Referral[[#This Row],[Carer Found?]], "Fostering", "Residential")</f>
        <v>Fostering</v>
      </c>
    </row>
    <row r="13" spans="2:12" x14ac:dyDescent="0.45">
      <c r="B13">
        <v>11</v>
      </c>
      <c r="C13">
        <f>CEILING(Referral[[#This Row],[Referral ID]]/50,1)</f>
        <v>1</v>
      </c>
      <c r="D13" t="s">
        <v>17</v>
      </c>
      <c r="E13" t="s">
        <v>72</v>
      </c>
      <c r="F13">
        <v>6</v>
      </c>
      <c r="G13">
        <v>5</v>
      </c>
      <c r="H13" t="b" cm="1">
        <f t="array" ref="H13">OR(_xlfn._xlws.FILTER('Call Log'!$D$4:$D$381,Table5[Referral ID]=Referral[[#This Row],[Referral ID]]))</f>
        <v>1</v>
      </c>
      <c r="I13" t="str">
        <f>IF(Referral[[#This Row],[Carer Found?]], "Fostering", "Residential")</f>
        <v>Fostering</v>
      </c>
    </row>
    <row r="14" spans="2:12" x14ac:dyDescent="0.45">
      <c r="B14">
        <v>12</v>
      </c>
      <c r="C14">
        <f>CEILING(Referral[[#This Row],[Referral ID]]/50,1)</f>
        <v>1</v>
      </c>
      <c r="D14" t="s">
        <v>18</v>
      </c>
      <c r="E14" t="s">
        <v>72</v>
      </c>
      <c r="F14">
        <v>6</v>
      </c>
      <c r="G14">
        <v>1</v>
      </c>
      <c r="H14" t="b" cm="1">
        <f t="array" ref="H14">OR(_xlfn._xlws.FILTER('Call Log'!$D$4:$D$381,Table5[Referral ID]=Referral[[#This Row],[Referral ID]]))</f>
        <v>0</v>
      </c>
      <c r="I14" t="str">
        <f>IF(Referral[[#This Row],[Carer Found?]], "Fostering", "Residential")</f>
        <v>Residential</v>
      </c>
    </row>
    <row r="15" spans="2:12" x14ac:dyDescent="0.45">
      <c r="B15">
        <v>13</v>
      </c>
      <c r="C15">
        <f>CEILING(Referral[[#This Row],[Referral ID]]/50,1)</f>
        <v>1</v>
      </c>
      <c r="D15" t="s">
        <v>19</v>
      </c>
      <c r="E15" t="s">
        <v>70</v>
      </c>
      <c r="F15">
        <v>3</v>
      </c>
      <c r="G15">
        <v>3</v>
      </c>
      <c r="H15" t="b" cm="1">
        <f t="array" ref="H15">OR(_xlfn._xlws.FILTER('Call Log'!$D$4:$D$381,Table5[Referral ID]=Referral[[#This Row],[Referral ID]]))</f>
        <v>0</v>
      </c>
      <c r="I15" t="str">
        <f>IF(Referral[[#This Row],[Carer Found?]], "Fostering", "Residential")</f>
        <v>Residential</v>
      </c>
    </row>
    <row r="16" spans="2:12" x14ac:dyDescent="0.45">
      <c r="B16">
        <v>14</v>
      </c>
      <c r="C16">
        <f>CEILING(Referral[[#This Row],[Referral ID]]/50,1)</f>
        <v>1</v>
      </c>
      <c r="D16" t="s">
        <v>20</v>
      </c>
      <c r="E16" t="s">
        <v>67</v>
      </c>
      <c r="F16">
        <v>6</v>
      </c>
      <c r="G16">
        <v>6</v>
      </c>
      <c r="H16" t="b" cm="1">
        <f t="array" ref="H16">OR(_xlfn._xlws.FILTER('Call Log'!$D$4:$D$381,Table5[Referral ID]=Referral[[#This Row],[Referral ID]]))</f>
        <v>1</v>
      </c>
      <c r="I16" t="str">
        <f>IF(Referral[[#This Row],[Carer Found?]], "Fostering", "Residential")</f>
        <v>Fostering</v>
      </c>
    </row>
    <row r="17" spans="2:9" x14ac:dyDescent="0.45">
      <c r="B17">
        <v>15</v>
      </c>
      <c r="C17">
        <f>CEILING(Referral[[#This Row],[Referral ID]]/50,1)</f>
        <v>1</v>
      </c>
      <c r="D17" t="s">
        <v>21</v>
      </c>
      <c r="E17" t="s">
        <v>69</v>
      </c>
      <c r="F17">
        <v>5</v>
      </c>
      <c r="G17">
        <v>5</v>
      </c>
      <c r="H17" t="b" cm="1">
        <f t="array" ref="H17">OR(_xlfn._xlws.FILTER('Call Log'!$D$4:$D$381,Table5[Referral ID]=Referral[[#This Row],[Referral ID]]))</f>
        <v>1</v>
      </c>
      <c r="I17" t="str">
        <f>IF(Referral[[#This Row],[Carer Found?]], "Fostering", "Residential")</f>
        <v>Fostering</v>
      </c>
    </row>
    <row r="18" spans="2:9" x14ac:dyDescent="0.45">
      <c r="B18">
        <v>16</v>
      </c>
      <c r="C18">
        <f>CEILING(Referral[[#This Row],[Referral ID]]/50,1)</f>
        <v>1</v>
      </c>
      <c r="D18" t="s">
        <v>22</v>
      </c>
      <c r="E18" t="s">
        <v>65</v>
      </c>
      <c r="F18">
        <v>3</v>
      </c>
      <c r="G18">
        <v>3</v>
      </c>
      <c r="H18" t="b" cm="1">
        <f t="array" ref="H18">OR(_xlfn._xlws.FILTER('Call Log'!$D$4:$D$381,Table5[Referral ID]=Referral[[#This Row],[Referral ID]]))</f>
        <v>1</v>
      </c>
      <c r="I18" t="str">
        <f>IF(Referral[[#This Row],[Carer Found?]], "Fostering", "Residential")</f>
        <v>Fostering</v>
      </c>
    </row>
    <row r="19" spans="2:9" x14ac:dyDescent="0.45">
      <c r="B19">
        <v>17</v>
      </c>
      <c r="C19">
        <f>CEILING(Referral[[#This Row],[Referral ID]]/50,1)</f>
        <v>1</v>
      </c>
      <c r="D19" t="s">
        <v>23</v>
      </c>
      <c r="E19" t="s">
        <v>71</v>
      </c>
      <c r="F19">
        <v>4</v>
      </c>
      <c r="G19">
        <v>4</v>
      </c>
      <c r="H19" t="b" cm="1">
        <f t="array" ref="H19">OR(_xlfn._xlws.FILTER('Call Log'!$D$4:$D$381,Table5[Referral ID]=Referral[[#This Row],[Referral ID]]))</f>
        <v>1</v>
      </c>
      <c r="I19" t="str">
        <f>IF(Referral[[#This Row],[Carer Found?]], "Fostering", "Residential")</f>
        <v>Fostering</v>
      </c>
    </row>
    <row r="20" spans="2:9" x14ac:dyDescent="0.45">
      <c r="B20">
        <v>18</v>
      </c>
      <c r="C20">
        <f>CEILING(Referral[[#This Row],[Referral ID]]/50,1)</f>
        <v>1</v>
      </c>
      <c r="D20" t="s">
        <v>24</v>
      </c>
      <c r="E20" t="s">
        <v>70</v>
      </c>
      <c r="F20">
        <v>0</v>
      </c>
      <c r="G20">
        <v>0</v>
      </c>
      <c r="H20" t="b" cm="1">
        <f t="array" ref="H20">OR(_xlfn._xlws.FILTER('Call Log'!$D$4:$D$381,Table5[Referral ID]=Referral[[#This Row],[Referral ID]]))</f>
        <v>0</v>
      </c>
      <c r="I20" t="str">
        <f>IF(Referral[[#This Row],[Carer Found?]], "Fostering", "Residential")</f>
        <v>Residential</v>
      </c>
    </row>
    <row r="21" spans="2:9" x14ac:dyDescent="0.45">
      <c r="B21">
        <v>19</v>
      </c>
      <c r="C21">
        <f>CEILING(Referral[[#This Row],[Referral ID]]/50,1)</f>
        <v>1</v>
      </c>
      <c r="D21" t="s">
        <v>25</v>
      </c>
      <c r="E21" t="s">
        <v>70</v>
      </c>
      <c r="F21">
        <v>3</v>
      </c>
      <c r="G21">
        <v>3</v>
      </c>
      <c r="H21" t="b" cm="1">
        <f t="array" ref="H21">OR(_xlfn._xlws.FILTER('Call Log'!$D$4:$D$381,Table5[Referral ID]=Referral[[#This Row],[Referral ID]]))</f>
        <v>1</v>
      </c>
      <c r="I21" t="str">
        <f>IF(Referral[[#This Row],[Carer Found?]], "Fostering", "Residential")</f>
        <v>Fostering</v>
      </c>
    </row>
    <row r="22" spans="2:9" x14ac:dyDescent="0.45">
      <c r="B22">
        <v>20</v>
      </c>
      <c r="C22">
        <f>CEILING(Referral[[#This Row],[Referral ID]]/50,1)</f>
        <v>1</v>
      </c>
      <c r="D22" t="s">
        <v>26</v>
      </c>
      <c r="E22" t="s">
        <v>73</v>
      </c>
      <c r="F22">
        <v>8</v>
      </c>
      <c r="G22">
        <v>4</v>
      </c>
      <c r="H22" t="b" cm="1">
        <f t="array" ref="H22">OR(_xlfn._xlws.FILTER('Call Log'!$D$4:$D$381,Table5[Referral ID]=Referral[[#This Row],[Referral ID]]))</f>
        <v>1</v>
      </c>
      <c r="I22" t="str">
        <f>IF(Referral[[#This Row],[Carer Found?]], "Fostering", "Residential")</f>
        <v>Fostering</v>
      </c>
    </row>
    <row r="23" spans="2:9" x14ac:dyDescent="0.45">
      <c r="B23">
        <v>21</v>
      </c>
      <c r="C23">
        <f>CEILING(Referral[[#This Row],[Referral ID]]/50,1)</f>
        <v>1</v>
      </c>
      <c r="D23" t="s">
        <v>27</v>
      </c>
      <c r="E23" t="s">
        <v>67</v>
      </c>
      <c r="F23">
        <v>6</v>
      </c>
      <c r="G23">
        <v>5</v>
      </c>
      <c r="H23" t="b" cm="1">
        <f t="array" ref="H23">OR(_xlfn._xlws.FILTER('Call Log'!$D$4:$D$381,Table5[Referral ID]=Referral[[#This Row],[Referral ID]]))</f>
        <v>1</v>
      </c>
      <c r="I23" t="str">
        <f>IF(Referral[[#This Row],[Carer Found?]], "Fostering", "Residential")</f>
        <v>Fostering</v>
      </c>
    </row>
    <row r="24" spans="2:9" x14ac:dyDescent="0.45">
      <c r="B24">
        <v>22</v>
      </c>
      <c r="C24">
        <f>CEILING(Referral[[#This Row],[Referral ID]]/50,1)</f>
        <v>1</v>
      </c>
      <c r="D24" t="s">
        <v>28</v>
      </c>
      <c r="E24" t="s">
        <v>71</v>
      </c>
      <c r="F24">
        <v>7</v>
      </c>
      <c r="G24">
        <v>7</v>
      </c>
      <c r="H24" t="b" cm="1">
        <f t="array" ref="H24">OR(_xlfn._xlws.FILTER('Call Log'!$D$4:$D$381,Table5[Referral ID]=Referral[[#This Row],[Referral ID]]))</f>
        <v>0</v>
      </c>
      <c r="I24" t="str">
        <f>IF(Referral[[#This Row],[Carer Found?]], "Fostering", "Residential")</f>
        <v>Residential</v>
      </c>
    </row>
    <row r="25" spans="2:9" x14ac:dyDescent="0.45">
      <c r="B25">
        <v>23</v>
      </c>
      <c r="C25">
        <f>CEILING(Referral[[#This Row],[Referral ID]]/50,1)</f>
        <v>1</v>
      </c>
      <c r="D25" t="s">
        <v>29</v>
      </c>
      <c r="E25" t="s">
        <v>65</v>
      </c>
      <c r="F25">
        <v>8</v>
      </c>
      <c r="G25">
        <v>6</v>
      </c>
      <c r="H25" t="b" cm="1">
        <f t="array" ref="H25">OR(_xlfn._xlws.FILTER('Call Log'!$D$4:$D$381,Table5[Referral ID]=Referral[[#This Row],[Referral ID]]))</f>
        <v>0</v>
      </c>
      <c r="I25" t="str">
        <f>IF(Referral[[#This Row],[Carer Found?]], "Fostering", "Residential")</f>
        <v>Residential</v>
      </c>
    </row>
    <row r="26" spans="2:9" x14ac:dyDescent="0.45">
      <c r="B26">
        <v>24</v>
      </c>
      <c r="C26">
        <f>CEILING(Referral[[#This Row],[Referral ID]]/50,1)</f>
        <v>1</v>
      </c>
      <c r="D26" t="s">
        <v>30</v>
      </c>
      <c r="E26" t="s">
        <v>68</v>
      </c>
      <c r="F26">
        <v>3</v>
      </c>
      <c r="G26">
        <v>3</v>
      </c>
      <c r="H26" t="b" cm="1">
        <f t="array" ref="H26">OR(_xlfn._xlws.FILTER('Call Log'!$D$4:$D$381,Table5[Referral ID]=Referral[[#This Row],[Referral ID]]))</f>
        <v>0</v>
      </c>
      <c r="I26" t="str">
        <f>IF(Referral[[#This Row],[Carer Found?]], "Fostering", "Residential")</f>
        <v>Residential</v>
      </c>
    </row>
    <row r="27" spans="2:9" x14ac:dyDescent="0.45">
      <c r="B27">
        <v>25</v>
      </c>
      <c r="C27">
        <f>CEILING(Referral[[#This Row],[Referral ID]]/50,1)</f>
        <v>1</v>
      </c>
      <c r="D27" t="s">
        <v>31</v>
      </c>
      <c r="E27" t="s">
        <v>69</v>
      </c>
      <c r="F27">
        <v>6</v>
      </c>
      <c r="G27">
        <v>6</v>
      </c>
      <c r="H27" t="b" cm="1">
        <f t="array" ref="H27">OR(_xlfn._xlws.FILTER('Call Log'!$D$4:$D$381,Table5[Referral ID]=Referral[[#This Row],[Referral ID]]))</f>
        <v>1</v>
      </c>
      <c r="I27" t="str">
        <f>IF(Referral[[#This Row],[Carer Found?]], "Fostering", "Residential")</f>
        <v>Fostering</v>
      </c>
    </row>
    <row r="28" spans="2:9" x14ac:dyDescent="0.45">
      <c r="B28">
        <v>26</v>
      </c>
      <c r="C28">
        <f>CEILING(Referral[[#This Row],[Referral ID]]/50,1)</f>
        <v>1</v>
      </c>
      <c r="D28" t="s">
        <v>32</v>
      </c>
      <c r="E28" t="s">
        <v>73</v>
      </c>
      <c r="F28">
        <v>6</v>
      </c>
      <c r="G28">
        <v>4</v>
      </c>
      <c r="H28" t="b" cm="1">
        <f t="array" ref="H28">OR(_xlfn._xlws.FILTER('Call Log'!$D$4:$D$381,Table5[Referral ID]=Referral[[#This Row],[Referral ID]]))</f>
        <v>1</v>
      </c>
      <c r="I28" t="str">
        <f>IF(Referral[[#This Row],[Carer Found?]], "Fostering", "Residential")</f>
        <v>Fostering</v>
      </c>
    </row>
    <row r="29" spans="2:9" x14ac:dyDescent="0.45">
      <c r="B29">
        <v>27</v>
      </c>
      <c r="C29">
        <f>CEILING(Referral[[#This Row],[Referral ID]]/50,1)</f>
        <v>1</v>
      </c>
      <c r="D29" t="s">
        <v>33</v>
      </c>
      <c r="E29" t="s">
        <v>69</v>
      </c>
      <c r="F29">
        <v>2</v>
      </c>
      <c r="G29">
        <v>2</v>
      </c>
      <c r="H29" t="b" cm="1">
        <f t="array" ref="H29">OR(_xlfn._xlws.FILTER('Call Log'!$D$4:$D$381,Table5[Referral ID]=Referral[[#This Row],[Referral ID]]))</f>
        <v>0</v>
      </c>
      <c r="I29" t="str">
        <f>IF(Referral[[#This Row],[Carer Found?]], "Fostering", "Residential")</f>
        <v>Residential</v>
      </c>
    </row>
    <row r="30" spans="2:9" x14ac:dyDescent="0.45">
      <c r="B30">
        <v>28</v>
      </c>
      <c r="C30">
        <f>CEILING(Referral[[#This Row],[Referral ID]]/50,1)</f>
        <v>1</v>
      </c>
      <c r="D30" t="s">
        <v>34</v>
      </c>
      <c r="E30" t="s">
        <v>70</v>
      </c>
      <c r="F30">
        <v>4</v>
      </c>
      <c r="G30">
        <v>4</v>
      </c>
      <c r="H30" t="b" cm="1">
        <f t="array" ref="H30">OR(_xlfn._xlws.FILTER('Call Log'!$D$4:$D$381,Table5[Referral ID]=Referral[[#This Row],[Referral ID]]))</f>
        <v>1</v>
      </c>
      <c r="I30" t="str">
        <f>IF(Referral[[#This Row],[Carer Found?]], "Fostering", "Residential")</f>
        <v>Fostering</v>
      </c>
    </row>
    <row r="31" spans="2:9" x14ac:dyDescent="0.45">
      <c r="B31">
        <v>29</v>
      </c>
      <c r="C31">
        <f>CEILING(Referral[[#This Row],[Referral ID]]/50,1)</f>
        <v>1</v>
      </c>
      <c r="D31" t="s">
        <v>35</v>
      </c>
      <c r="E31" t="s">
        <v>72</v>
      </c>
      <c r="F31">
        <v>8</v>
      </c>
      <c r="G31">
        <v>2</v>
      </c>
      <c r="H31" t="b" cm="1">
        <f t="array" ref="H31">OR(_xlfn._xlws.FILTER('Call Log'!$D$4:$D$381,Table5[Referral ID]=Referral[[#This Row],[Referral ID]]))</f>
        <v>1</v>
      </c>
      <c r="I31" t="str">
        <f>IF(Referral[[#This Row],[Carer Found?]], "Fostering", "Residential")</f>
        <v>Fostering</v>
      </c>
    </row>
    <row r="32" spans="2:9" x14ac:dyDescent="0.45">
      <c r="B32">
        <v>30</v>
      </c>
      <c r="C32">
        <f>CEILING(Referral[[#This Row],[Referral ID]]/50,1)</f>
        <v>1</v>
      </c>
      <c r="D32" t="s">
        <v>36</v>
      </c>
      <c r="E32" t="s">
        <v>69</v>
      </c>
      <c r="F32">
        <v>3</v>
      </c>
      <c r="G32">
        <v>3</v>
      </c>
      <c r="H32" t="b" cm="1">
        <f t="array" ref="H32">OR(_xlfn._xlws.FILTER('Call Log'!$D$4:$D$381,Table5[Referral ID]=Referral[[#This Row],[Referral ID]]))</f>
        <v>0</v>
      </c>
      <c r="I32" t="str">
        <f>IF(Referral[[#This Row],[Carer Found?]], "Fostering", "Residential")</f>
        <v>Residential</v>
      </c>
    </row>
    <row r="33" spans="2:9" x14ac:dyDescent="0.45">
      <c r="B33">
        <v>31</v>
      </c>
      <c r="C33">
        <f>CEILING(Referral[[#This Row],[Referral ID]]/50,1)</f>
        <v>1</v>
      </c>
      <c r="D33" t="s">
        <v>37</v>
      </c>
      <c r="E33" t="s">
        <v>72</v>
      </c>
      <c r="F33">
        <v>13</v>
      </c>
      <c r="G33">
        <v>4</v>
      </c>
      <c r="H33" t="b" cm="1">
        <f t="array" ref="H33">OR(_xlfn._xlws.FILTER('Call Log'!$D$4:$D$381,Table5[Referral ID]=Referral[[#This Row],[Referral ID]]))</f>
        <v>1</v>
      </c>
      <c r="I33" t="str">
        <f>IF(Referral[[#This Row],[Carer Found?]], "Fostering", "Residential")</f>
        <v>Fostering</v>
      </c>
    </row>
    <row r="34" spans="2:9" x14ac:dyDescent="0.45">
      <c r="B34">
        <v>32</v>
      </c>
      <c r="C34">
        <f>CEILING(Referral[[#This Row],[Referral ID]]/50,1)</f>
        <v>1</v>
      </c>
      <c r="D34" t="s">
        <v>38</v>
      </c>
      <c r="E34" t="s">
        <v>73</v>
      </c>
      <c r="F34">
        <v>2</v>
      </c>
      <c r="G34">
        <v>1</v>
      </c>
      <c r="H34" t="b" cm="1">
        <f t="array" ref="H34">OR(_xlfn._xlws.FILTER('Call Log'!$D$4:$D$381,Table5[Referral ID]=Referral[[#This Row],[Referral ID]]))</f>
        <v>1</v>
      </c>
      <c r="I34" t="str">
        <f>IF(Referral[[#This Row],[Carer Found?]], "Fostering", "Residential")</f>
        <v>Fostering</v>
      </c>
    </row>
    <row r="35" spans="2:9" x14ac:dyDescent="0.45">
      <c r="B35">
        <v>33</v>
      </c>
      <c r="C35">
        <f>CEILING(Referral[[#This Row],[Referral ID]]/50,1)</f>
        <v>1</v>
      </c>
      <c r="D35" t="s">
        <v>39</v>
      </c>
      <c r="E35" t="s">
        <v>69</v>
      </c>
      <c r="F35">
        <v>0</v>
      </c>
      <c r="G35">
        <v>0</v>
      </c>
      <c r="H35" t="b" cm="1">
        <f t="array" ref="H35">OR(_xlfn._xlws.FILTER('Call Log'!$D$4:$D$381,Table5[Referral ID]=Referral[[#This Row],[Referral ID]]))</f>
        <v>0</v>
      </c>
      <c r="I35" t="str">
        <f>IF(Referral[[#This Row],[Carer Found?]], "Fostering", "Residential")</f>
        <v>Residential</v>
      </c>
    </row>
    <row r="36" spans="2:9" x14ac:dyDescent="0.45">
      <c r="B36">
        <v>34</v>
      </c>
      <c r="C36">
        <f>CEILING(Referral[[#This Row],[Referral ID]]/50,1)</f>
        <v>1</v>
      </c>
      <c r="D36" t="s">
        <v>40</v>
      </c>
      <c r="E36" t="s">
        <v>68</v>
      </c>
      <c r="F36">
        <v>0</v>
      </c>
      <c r="G36">
        <v>0</v>
      </c>
      <c r="H36" t="b" cm="1">
        <f t="array" ref="H36">OR(_xlfn._xlws.FILTER('Call Log'!$D$4:$D$381,Table5[Referral ID]=Referral[[#This Row],[Referral ID]]))</f>
        <v>0</v>
      </c>
      <c r="I36" t="str">
        <f>IF(Referral[[#This Row],[Carer Found?]], "Fostering", "Residential")</f>
        <v>Residential</v>
      </c>
    </row>
    <row r="37" spans="2:9" x14ac:dyDescent="0.45">
      <c r="B37">
        <v>35</v>
      </c>
      <c r="C37">
        <f>CEILING(Referral[[#This Row],[Referral ID]]/50,1)</f>
        <v>1</v>
      </c>
      <c r="D37" t="s">
        <v>41</v>
      </c>
      <c r="E37" t="s">
        <v>71</v>
      </c>
      <c r="F37">
        <v>0</v>
      </c>
      <c r="G37">
        <v>0</v>
      </c>
      <c r="H37" t="b" cm="1">
        <f t="array" ref="H37">OR(_xlfn._xlws.FILTER('Call Log'!$D$4:$D$381,Table5[Referral ID]=Referral[[#This Row],[Referral ID]]))</f>
        <v>0</v>
      </c>
      <c r="I37" t="str">
        <f>IF(Referral[[#This Row],[Carer Found?]], "Fostering", "Residential")</f>
        <v>Residential</v>
      </c>
    </row>
    <row r="38" spans="2:9" x14ac:dyDescent="0.45">
      <c r="B38">
        <v>36</v>
      </c>
      <c r="C38">
        <f>CEILING(Referral[[#This Row],[Referral ID]]/50,1)</f>
        <v>1</v>
      </c>
      <c r="D38" t="s">
        <v>42</v>
      </c>
      <c r="E38" t="s">
        <v>71</v>
      </c>
      <c r="F38">
        <v>2</v>
      </c>
      <c r="G38">
        <v>2</v>
      </c>
      <c r="H38" t="b" cm="1">
        <f t="array" ref="H38">OR(_xlfn._xlws.FILTER('Call Log'!$D$4:$D$381,Table5[Referral ID]=Referral[[#This Row],[Referral ID]]))</f>
        <v>0</v>
      </c>
      <c r="I38" t="str">
        <f>IF(Referral[[#This Row],[Carer Found?]], "Fostering", "Residential")</f>
        <v>Residential</v>
      </c>
    </row>
    <row r="39" spans="2:9" x14ac:dyDescent="0.45">
      <c r="B39">
        <v>37</v>
      </c>
      <c r="C39">
        <f>CEILING(Referral[[#This Row],[Referral ID]]/50,1)</f>
        <v>1</v>
      </c>
      <c r="D39" t="s">
        <v>43</v>
      </c>
      <c r="E39" t="s">
        <v>70</v>
      </c>
      <c r="F39">
        <v>4</v>
      </c>
      <c r="G39">
        <v>4</v>
      </c>
      <c r="H39" t="b" cm="1">
        <f t="array" ref="H39">OR(_xlfn._xlws.FILTER('Call Log'!$D$4:$D$381,Table5[Referral ID]=Referral[[#This Row],[Referral ID]]))</f>
        <v>1</v>
      </c>
      <c r="I39" t="str">
        <f>IF(Referral[[#This Row],[Carer Found?]], "Fostering", "Residential")</f>
        <v>Fostering</v>
      </c>
    </row>
    <row r="40" spans="2:9" x14ac:dyDescent="0.45">
      <c r="B40">
        <v>38</v>
      </c>
      <c r="C40">
        <f>CEILING(Referral[[#This Row],[Referral ID]]/50,1)</f>
        <v>1</v>
      </c>
      <c r="D40" t="s">
        <v>44</v>
      </c>
      <c r="E40" t="s">
        <v>73</v>
      </c>
      <c r="F40">
        <v>3</v>
      </c>
      <c r="G40">
        <v>2</v>
      </c>
      <c r="H40" t="b" cm="1">
        <f t="array" ref="H40">OR(_xlfn._xlws.FILTER('Call Log'!$D$4:$D$381,Table5[Referral ID]=Referral[[#This Row],[Referral ID]]))</f>
        <v>1</v>
      </c>
      <c r="I40" t="str">
        <f>IF(Referral[[#This Row],[Carer Found?]], "Fostering", "Residential")</f>
        <v>Fostering</v>
      </c>
    </row>
    <row r="41" spans="2:9" x14ac:dyDescent="0.45">
      <c r="B41">
        <v>39</v>
      </c>
      <c r="C41">
        <f>CEILING(Referral[[#This Row],[Referral ID]]/50,1)</f>
        <v>1</v>
      </c>
      <c r="D41" t="s">
        <v>45</v>
      </c>
      <c r="E41" t="s">
        <v>65</v>
      </c>
      <c r="F41">
        <v>3</v>
      </c>
      <c r="G41">
        <v>2</v>
      </c>
      <c r="H41" t="b" cm="1">
        <f t="array" ref="H41">OR(_xlfn._xlws.FILTER('Call Log'!$D$4:$D$381,Table5[Referral ID]=Referral[[#This Row],[Referral ID]]))</f>
        <v>1</v>
      </c>
      <c r="I41" t="str">
        <f>IF(Referral[[#This Row],[Carer Found?]], "Fostering", "Residential")</f>
        <v>Fostering</v>
      </c>
    </row>
    <row r="42" spans="2:9" x14ac:dyDescent="0.45">
      <c r="B42">
        <v>40</v>
      </c>
      <c r="C42">
        <f>CEILING(Referral[[#This Row],[Referral ID]]/50,1)</f>
        <v>1</v>
      </c>
      <c r="D42" t="s">
        <v>46</v>
      </c>
      <c r="E42" t="s">
        <v>72</v>
      </c>
      <c r="F42">
        <v>12</v>
      </c>
      <c r="G42">
        <v>7</v>
      </c>
      <c r="H42" t="b" cm="1">
        <f t="array" ref="H42">OR(_xlfn._xlws.FILTER('Call Log'!$D$4:$D$381,Table5[Referral ID]=Referral[[#This Row],[Referral ID]]))</f>
        <v>1</v>
      </c>
      <c r="I42" t="str">
        <f>IF(Referral[[#This Row],[Carer Found?]], "Fostering", "Residential")</f>
        <v>Fostering</v>
      </c>
    </row>
    <row r="43" spans="2:9" x14ac:dyDescent="0.45">
      <c r="B43">
        <v>41</v>
      </c>
      <c r="C43">
        <f>CEILING(Referral[[#This Row],[Referral ID]]/50,1)</f>
        <v>1</v>
      </c>
      <c r="D43" t="s">
        <v>47</v>
      </c>
      <c r="E43" t="s">
        <v>65</v>
      </c>
      <c r="F43">
        <v>0</v>
      </c>
      <c r="G43">
        <v>0</v>
      </c>
      <c r="H43" t="b" cm="1">
        <f t="array" ref="H43">OR(_xlfn._xlws.FILTER('Call Log'!$D$4:$D$381,Table5[Referral ID]=Referral[[#This Row],[Referral ID]]))</f>
        <v>0</v>
      </c>
      <c r="I43" t="str">
        <f>IF(Referral[[#This Row],[Carer Found?]], "Fostering", "Residential")</f>
        <v>Residential</v>
      </c>
    </row>
    <row r="44" spans="2:9" x14ac:dyDescent="0.45">
      <c r="B44">
        <v>42</v>
      </c>
      <c r="C44">
        <f>CEILING(Referral[[#This Row],[Referral ID]]/50,1)</f>
        <v>1</v>
      </c>
      <c r="D44" t="s">
        <v>12</v>
      </c>
      <c r="E44" t="s">
        <v>72</v>
      </c>
      <c r="F44">
        <v>11</v>
      </c>
      <c r="G44">
        <v>2</v>
      </c>
      <c r="H44" t="b" cm="1">
        <f t="array" ref="H44">OR(_xlfn._xlws.FILTER('Call Log'!$D$4:$D$381,Table5[Referral ID]=Referral[[#This Row],[Referral ID]]))</f>
        <v>0</v>
      </c>
      <c r="I44" t="str">
        <f>IF(Referral[[#This Row],[Carer Found?]], "Fostering", "Residential")</f>
        <v>Residential</v>
      </c>
    </row>
    <row r="45" spans="2:9" x14ac:dyDescent="0.45">
      <c r="B45">
        <v>43</v>
      </c>
      <c r="C45">
        <f>CEILING(Referral[[#This Row],[Referral ID]]/50,1)</f>
        <v>1</v>
      </c>
      <c r="D45" t="s">
        <v>48</v>
      </c>
      <c r="E45" t="s">
        <v>70</v>
      </c>
      <c r="F45">
        <v>7</v>
      </c>
      <c r="G45">
        <v>7</v>
      </c>
      <c r="H45" t="b" cm="1">
        <f t="array" ref="H45">OR(_xlfn._xlws.FILTER('Call Log'!$D$4:$D$381,Table5[Referral ID]=Referral[[#This Row],[Referral ID]]))</f>
        <v>0</v>
      </c>
      <c r="I45" t="str">
        <f>IF(Referral[[#This Row],[Carer Found?]], "Fostering", "Residential")</f>
        <v>Residential</v>
      </c>
    </row>
    <row r="46" spans="2:9" x14ac:dyDescent="0.45">
      <c r="B46">
        <v>44</v>
      </c>
      <c r="C46">
        <f>CEILING(Referral[[#This Row],[Referral ID]]/50,1)</f>
        <v>1</v>
      </c>
      <c r="D46" t="s">
        <v>49</v>
      </c>
      <c r="E46" t="s">
        <v>69</v>
      </c>
      <c r="F46">
        <v>4</v>
      </c>
      <c r="G46">
        <v>4</v>
      </c>
      <c r="H46" t="b" cm="1">
        <f t="array" ref="H46">OR(_xlfn._xlws.FILTER('Call Log'!$D$4:$D$381,Table5[Referral ID]=Referral[[#This Row],[Referral ID]]))</f>
        <v>0</v>
      </c>
      <c r="I46" t="str">
        <f>IF(Referral[[#This Row],[Carer Found?]], "Fostering", "Residential")</f>
        <v>Residential</v>
      </c>
    </row>
    <row r="47" spans="2:9" x14ac:dyDescent="0.45">
      <c r="B47">
        <v>45</v>
      </c>
      <c r="C47">
        <f>CEILING(Referral[[#This Row],[Referral ID]]/50,1)</f>
        <v>1</v>
      </c>
      <c r="D47" t="s">
        <v>50</v>
      </c>
      <c r="E47" t="s">
        <v>72</v>
      </c>
      <c r="F47">
        <v>8</v>
      </c>
      <c r="G47">
        <v>4</v>
      </c>
      <c r="H47" t="b" cm="1">
        <f t="array" ref="H47">OR(_xlfn._xlws.FILTER('Call Log'!$D$4:$D$381,Table5[Referral ID]=Referral[[#This Row],[Referral ID]]))</f>
        <v>1</v>
      </c>
      <c r="I47" t="str">
        <f>IF(Referral[[#This Row],[Carer Found?]], "Fostering", "Residential")</f>
        <v>Fostering</v>
      </c>
    </row>
    <row r="48" spans="2:9" x14ac:dyDescent="0.45">
      <c r="B48">
        <v>46</v>
      </c>
      <c r="C48">
        <f>CEILING(Referral[[#This Row],[Referral ID]]/50,1)</f>
        <v>1</v>
      </c>
      <c r="D48" t="s">
        <v>51</v>
      </c>
      <c r="E48" t="s">
        <v>65</v>
      </c>
      <c r="F48">
        <v>5</v>
      </c>
      <c r="G48">
        <v>4</v>
      </c>
      <c r="H48" t="b" cm="1">
        <f t="array" ref="H48">OR(_xlfn._xlws.FILTER('Call Log'!$D$4:$D$381,Table5[Referral ID]=Referral[[#This Row],[Referral ID]]))</f>
        <v>1</v>
      </c>
      <c r="I48" t="str">
        <f>IF(Referral[[#This Row],[Carer Found?]], "Fostering", "Residential")</f>
        <v>Fostering</v>
      </c>
    </row>
    <row r="49" spans="2:9" x14ac:dyDescent="0.45">
      <c r="B49">
        <v>47</v>
      </c>
      <c r="C49">
        <f>CEILING(Referral[[#This Row],[Referral ID]]/50,1)</f>
        <v>1</v>
      </c>
      <c r="D49" t="s">
        <v>52</v>
      </c>
      <c r="E49" t="s">
        <v>71</v>
      </c>
      <c r="F49">
        <v>0</v>
      </c>
      <c r="G49">
        <v>0</v>
      </c>
      <c r="H49" t="b" cm="1">
        <f t="array" ref="H49">OR(_xlfn._xlws.FILTER('Call Log'!$D$4:$D$381,Table5[Referral ID]=Referral[[#This Row],[Referral ID]]))</f>
        <v>0</v>
      </c>
      <c r="I49" t="str">
        <f>IF(Referral[[#This Row],[Carer Found?]], "Fostering", "Residential")</f>
        <v>Residential</v>
      </c>
    </row>
    <row r="50" spans="2:9" x14ac:dyDescent="0.45">
      <c r="B50">
        <v>48</v>
      </c>
      <c r="C50">
        <f>CEILING(Referral[[#This Row],[Referral ID]]/50,1)</f>
        <v>1</v>
      </c>
      <c r="D50" t="s">
        <v>53</v>
      </c>
      <c r="E50" t="s">
        <v>71</v>
      </c>
      <c r="F50">
        <v>6</v>
      </c>
      <c r="G50">
        <v>6</v>
      </c>
      <c r="H50" t="b" cm="1">
        <f t="array" ref="H50">OR(_xlfn._xlws.FILTER('Call Log'!$D$4:$D$381,Table5[Referral ID]=Referral[[#This Row],[Referral ID]]))</f>
        <v>1</v>
      </c>
      <c r="I50" t="str">
        <f>IF(Referral[[#This Row],[Carer Found?]], "Fostering", "Residential")</f>
        <v>Fostering</v>
      </c>
    </row>
    <row r="51" spans="2:9" x14ac:dyDescent="0.45">
      <c r="B51">
        <v>49</v>
      </c>
      <c r="C51">
        <f>CEILING(Referral[[#This Row],[Referral ID]]/50,1)</f>
        <v>1</v>
      </c>
      <c r="D51" t="s">
        <v>54</v>
      </c>
      <c r="E51" t="s">
        <v>70</v>
      </c>
      <c r="F51">
        <v>1</v>
      </c>
      <c r="G51">
        <v>1</v>
      </c>
      <c r="H51" t="b" cm="1">
        <f t="array" ref="H51">OR(_xlfn._xlws.FILTER('Call Log'!$D$4:$D$381,Table5[Referral ID]=Referral[[#This Row],[Referral ID]]))</f>
        <v>0</v>
      </c>
      <c r="I51" t="str">
        <f>IF(Referral[[#This Row],[Carer Found?]], "Fostering", "Residential")</f>
        <v>Residential</v>
      </c>
    </row>
    <row r="52" spans="2:9" x14ac:dyDescent="0.45">
      <c r="B52">
        <v>50</v>
      </c>
      <c r="C52">
        <f>CEILING(Referral[[#This Row],[Referral ID]]/50,1)</f>
        <v>1</v>
      </c>
      <c r="D52" t="s">
        <v>55</v>
      </c>
      <c r="E52" t="s">
        <v>64</v>
      </c>
      <c r="F52">
        <v>10</v>
      </c>
      <c r="G52">
        <v>5</v>
      </c>
      <c r="H52" t="b" cm="1">
        <f t="array" ref="H52">OR(_xlfn._xlws.FILTER('Call Log'!$D$4:$D$381,Table5[Referral ID]=Referral[[#This Row],[Referral ID]]))</f>
        <v>1</v>
      </c>
      <c r="I52" t="str">
        <f>IF(Referral[[#This Row],[Carer Found?]], "Fostering", "Residential")</f>
        <v>Fostering</v>
      </c>
    </row>
    <row r="53" spans="2:9" x14ac:dyDescent="0.45">
      <c r="B53">
        <v>51</v>
      </c>
      <c r="C53">
        <f>CEILING(Referral[[#This Row],[Referral ID]]/50,1)</f>
        <v>2</v>
      </c>
      <c r="D53" t="s">
        <v>56</v>
      </c>
      <c r="E53" t="s">
        <v>67</v>
      </c>
      <c r="F53">
        <v>8</v>
      </c>
      <c r="G53">
        <v>7</v>
      </c>
      <c r="H53" t="b" cm="1">
        <f t="array" ref="H53">OR(_xlfn._xlws.FILTER('Call Log'!$D$4:$D$381,Table5[Referral ID]=Referral[[#This Row],[Referral ID]]))</f>
        <v>0</v>
      </c>
      <c r="I53" t="str">
        <f>IF(Referral[[#This Row],[Carer Found?]], "Fostering", "Residential")</f>
        <v>Residential</v>
      </c>
    </row>
    <row r="54" spans="2:9" x14ac:dyDescent="0.45">
      <c r="B54">
        <v>52</v>
      </c>
      <c r="C54">
        <f>CEILING(Referral[[#This Row],[Referral ID]]/50,1)</f>
        <v>2</v>
      </c>
      <c r="D54" t="s">
        <v>57</v>
      </c>
      <c r="E54" t="s">
        <v>67</v>
      </c>
      <c r="F54">
        <v>2</v>
      </c>
      <c r="G54">
        <v>2</v>
      </c>
      <c r="H54" t="b" cm="1">
        <f t="array" ref="H54">OR(_xlfn._xlws.FILTER('Call Log'!$D$4:$D$381,Table5[Referral ID]=Referral[[#This Row],[Referral ID]]))</f>
        <v>1</v>
      </c>
      <c r="I54" t="str">
        <f>IF(Referral[[#This Row],[Carer Found?]], "Fostering", "Residential")</f>
        <v>Fostering</v>
      </c>
    </row>
    <row r="55" spans="2:9" x14ac:dyDescent="0.45">
      <c r="B55">
        <v>53</v>
      </c>
      <c r="C55">
        <f>CEILING(Referral[[#This Row],[Referral ID]]/50,1)</f>
        <v>2</v>
      </c>
      <c r="D55" t="s">
        <v>58</v>
      </c>
      <c r="E55" t="s">
        <v>68</v>
      </c>
      <c r="F55">
        <v>7</v>
      </c>
      <c r="G55">
        <v>7</v>
      </c>
      <c r="H55" t="b" cm="1">
        <f t="array" ref="H55">OR(_xlfn._xlws.FILTER('Call Log'!$D$4:$D$381,Table5[Referral ID]=Referral[[#This Row],[Referral ID]]))</f>
        <v>1</v>
      </c>
      <c r="I55" t="str">
        <f>IF(Referral[[#This Row],[Carer Found?]], "Fostering", "Residential")</f>
        <v>Fostering</v>
      </c>
    </row>
    <row r="56" spans="2:9" x14ac:dyDescent="0.45">
      <c r="B56">
        <v>54</v>
      </c>
      <c r="C56">
        <f>CEILING(Referral[[#This Row],[Referral ID]]/50,1)</f>
        <v>2</v>
      </c>
      <c r="D56" t="s">
        <v>15</v>
      </c>
      <c r="E56" t="s">
        <v>73</v>
      </c>
      <c r="F56">
        <v>11</v>
      </c>
      <c r="G56">
        <v>3</v>
      </c>
      <c r="H56" t="b" cm="1">
        <f t="array" ref="H56">OR(_xlfn._xlws.FILTER('Call Log'!$D$4:$D$381,Table5[Referral ID]=Referral[[#This Row],[Referral ID]]))</f>
        <v>1</v>
      </c>
      <c r="I56" t="str">
        <f>IF(Referral[[#This Row],[Carer Found?]], "Fostering", "Residential")</f>
        <v>Fostering</v>
      </c>
    </row>
    <row r="57" spans="2:9" x14ac:dyDescent="0.45">
      <c r="B57">
        <v>55</v>
      </c>
      <c r="C57">
        <f>CEILING(Referral[[#This Row],[Referral ID]]/50,1)</f>
        <v>2</v>
      </c>
      <c r="D57" t="s">
        <v>8</v>
      </c>
      <c r="E57" t="s">
        <v>68</v>
      </c>
      <c r="F57">
        <v>4</v>
      </c>
      <c r="G57">
        <v>3</v>
      </c>
      <c r="H57" t="b" cm="1">
        <f t="array" ref="H57">OR(_xlfn._xlws.FILTER('Call Log'!$D$4:$D$381,Table5[Referral ID]=Referral[[#This Row],[Referral ID]]))</f>
        <v>0</v>
      </c>
      <c r="I57" t="str">
        <f>IF(Referral[[#This Row],[Carer Found?]], "Fostering", "Residential")</f>
        <v>Residential</v>
      </c>
    </row>
    <row r="58" spans="2:9" x14ac:dyDescent="0.45">
      <c r="B58">
        <v>56</v>
      </c>
      <c r="C58">
        <f>CEILING(Referral[[#This Row],[Referral ID]]/50,1)</f>
        <v>2</v>
      </c>
      <c r="D58" t="s">
        <v>59</v>
      </c>
      <c r="E58" t="s">
        <v>70</v>
      </c>
      <c r="F58">
        <v>4</v>
      </c>
      <c r="G58">
        <v>4</v>
      </c>
      <c r="H58" t="b" cm="1">
        <f t="array" ref="H58">OR(_xlfn._xlws.FILTER('Call Log'!$D$4:$D$381,Table5[Referral ID]=Referral[[#This Row],[Referral ID]]))</f>
        <v>1</v>
      </c>
      <c r="I58" t="str">
        <f>IF(Referral[[#This Row],[Carer Found?]], "Fostering", "Residential")</f>
        <v>Fostering</v>
      </c>
    </row>
    <row r="59" spans="2:9" x14ac:dyDescent="0.45">
      <c r="B59">
        <v>57</v>
      </c>
      <c r="C59">
        <f>CEILING(Referral[[#This Row],[Referral ID]]/50,1)</f>
        <v>2</v>
      </c>
      <c r="D59" t="s">
        <v>7</v>
      </c>
      <c r="E59" t="s">
        <v>71</v>
      </c>
      <c r="F59">
        <v>0</v>
      </c>
      <c r="G59">
        <v>0</v>
      </c>
      <c r="H59" t="b" cm="1">
        <f t="array" ref="H59">OR(_xlfn._xlws.FILTER('Call Log'!$D$4:$D$381,Table5[Referral ID]=Referral[[#This Row],[Referral ID]]))</f>
        <v>0</v>
      </c>
      <c r="I59" t="str">
        <f>IF(Referral[[#This Row],[Carer Found?]], "Fostering", "Residential")</f>
        <v>Residential</v>
      </c>
    </row>
    <row r="60" spans="2:9" x14ac:dyDescent="0.45">
      <c r="B60">
        <v>58</v>
      </c>
      <c r="C60">
        <f>CEILING(Referral[[#This Row],[Referral ID]]/50,1)</f>
        <v>2</v>
      </c>
      <c r="D60" t="s">
        <v>60</v>
      </c>
      <c r="E60" t="s">
        <v>67</v>
      </c>
      <c r="F60">
        <v>2</v>
      </c>
      <c r="G60">
        <v>2</v>
      </c>
      <c r="H60" t="b" cm="1">
        <f t="array" ref="H60">OR(_xlfn._xlws.FILTER('Call Log'!$D$4:$D$381,Table5[Referral ID]=Referral[[#This Row],[Referral ID]]))</f>
        <v>1</v>
      </c>
      <c r="I60" t="str">
        <f>IF(Referral[[#This Row],[Carer Found?]], "Fostering", "Residential")</f>
        <v>Fostering</v>
      </c>
    </row>
    <row r="61" spans="2:9" x14ac:dyDescent="0.45">
      <c r="B61">
        <v>59</v>
      </c>
      <c r="C61">
        <f>CEILING(Referral[[#This Row],[Referral ID]]/50,1)</f>
        <v>2</v>
      </c>
      <c r="D61" t="s">
        <v>15</v>
      </c>
      <c r="E61" t="s">
        <v>69</v>
      </c>
      <c r="F61">
        <v>6</v>
      </c>
      <c r="G61">
        <v>6</v>
      </c>
      <c r="H61" t="b" cm="1">
        <f t="array" ref="H61">OR(_xlfn._xlws.FILTER('Call Log'!$D$4:$D$381,Table5[Referral ID]=Referral[[#This Row],[Referral ID]]))</f>
        <v>1</v>
      </c>
      <c r="I61" t="str">
        <f>IF(Referral[[#This Row],[Carer Found?]], "Fostering", "Residential")</f>
        <v>Fostering</v>
      </c>
    </row>
    <row r="62" spans="2:9" x14ac:dyDescent="0.45">
      <c r="B62">
        <v>60</v>
      </c>
      <c r="C62">
        <f>CEILING(Referral[[#This Row],[Referral ID]]/50,1)</f>
        <v>2</v>
      </c>
      <c r="D62" t="s">
        <v>61</v>
      </c>
      <c r="E62" t="s">
        <v>65</v>
      </c>
      <c r="F62">
        <v>7</v>
      </c>
      <c r="G62">
        <v>5</v>
      </c>
      <c r="H62" t="b" cm="1">
        <f t="array" ref="H62">OR(_xlfn._xlws.FILTER('Call Log'!$D$4:$D$381,Table5[Referral ID]=Referral[[#This Row],[Referral ID]]))</f>
        <v>0</v>
      </c>
      <c r="I62" t="str">
        <f>IF(Referral[[#This Row],[Carer Found?]], "Fostering", "Residential")</f>
        <v>Residential</v>
      </c>
    </row>
    <row r="63" spans="2:9" x14ac:dyDescent="0.45">
      <c r="B63">
        <v>61</v>
      </c>
      <c r="C63">
        <f>CEILING(Referral[[#This Row],[Referral ID]]/50,1)</f>
        <v>2</v>
      </c>
      <c r="D63" t="s">
        <v>62</v>
      </c>
      <c r="E63" t="s">
        <v>68</v>
      </c>
      <c r="F63">
        <v>7</v>
      </c>
      <c r="G63">
        <v>6</v>
      </c>
      <c r="H63" t="b" cm="1">
        <f t="array" ref="H63">OR(_xlfn._xlws.FILTER('Call Log'!$D$4:$D$381,Table5[Referral ID]=Referral[[#This Row],[Referral ID]]))</f>
        <v>0</v>
      </c>
      <c r="I63" t="str">
        <f>IF(Referral[[#This Row],[Carer Found?]], "Fostering", "Residential")</f>
        <v>Residential</v>
      </c>
    </row>
    <row r="64" spans="2:9" x14ac:dyDescent="0.45">
      <c r="B64">
        <v>62</v>
      </c>
      <c r="C64">
        <f>CEILING(Referral[[#This Row],[Referral ID]]/50,1)</f>
        <v>2</v>
      </c>
      <c r="D64" t="s">
        <v>9</v>
      </c>
      <c r="E64" t="s">
        <v>64</v>
      </c>
      <c r="F64">
        <v>6</v>
      </c>
      <c r="G64">
        <v>6</v>
      </c>
      <c r="H64" t="b" cm="1">
        <f t="array" ref="H64">OR(_xlfn._xlws.FILTER('Call Log'!$D$4:$D$381,Table5[Referral ID]=Referral[[#This Row],[Referral ID]]))</f>
        <v>1</v>
      </c>
      <c r="I64" t="str">
        <f>IF(Referral[[#This Row],[Carer Found?]], "Fostering", "Residential")</f>
        <v>Fostering</v>
      </c>
    </row>
    <row r="65" spans="2:9" x14ac:dyDescent="0.45">
      <c r="B65">
        <v>63</v>
      </c>
      <c r="C65">
        <f>CEILING(Referral[[#This Row],[Referral ID]]/50,1)</f>
        <v>2</v>
      </c>
      <c r="D65" t="s">
        <v>25</v>
      </c>
      <c r="E65" t="s">
        <v>71</v>
      </c>
      <c r="F65">
        <v>5</v>
      </c>
      <c r="G65">
        <v>5</v>
      </c>
      <c r="H65" t="b" cm="1">
        <f t="array" ref="H65">OR(_xlfn._xlws.FILTER('Call Log'!$D$4:$D$381,Table5[Referral ID]=Referral[[#This Row],[Referral ID]]))</f>
        <v>1</v>
      </c>
      <c r="I65" t="str">
        <f>IF(Referral[[#This Row],[Carer Found?]], "Fostering", "Residential")</f>
        <v>Fostering</v>
      </c>
    </row>
    <row r="66" spans="2:9" x14ac:dyDescent="0.45">
      <c r="B66">
        <v>64</v>
      </c>
      <c r="C66">
        <f>CEILING(Referral[[#This Row],[Referral ID]]/50,1)</f>
        <v>2</v>
      </c>
      <c r="D66" t="s">
        <v>17</v>
      </c>
      <c r="E66" t="s">
        <v>68</v>
      </c>
      <c r="F66">
        <v>5</v>
      </c>
      <c r="G66">
        <v>5</v>
      </c>
      <c r="H66" t="b" cm="1">
        <f t="array" ref="H66">OR(_xlfn._xlws.FILTER('Call Log'!$D$4:$D$381,Table5[Referral ID]=Referral[[#This Row],[Referral ID]]))</f>
        <v>1</v>
      </c>
      <c r="I66" t="str">
        <f>IF(Referral[[#This Row],[Carer Found?]], "Fostering", "Residential")</f>
        <v>Fostering</v>
      </c>
    </row>
    <row r="67" spans="2:9" x14ac:dyDescent="0.45">
      <c r="B67">
        <v>65</v>
      </c>
      <c r="C67">
        <f>CEILING(Referral[[#This Row],[Referral ID]]/50,1)</f>
        <v>2</v>
      </c>
      <c r="D67" t="s">
        <v>22</v>
      </c>
      <c r="E67" t="s">
        <v>68</v>
      </c>
      <c r="F67">
        <v>6</v>
      </c>
      <c r="G67">
        <v>5</v>
      </c>
      <c r="H67" t="b" cm="1">
        <f t="array" ref="H67">OR(_xlfn._xlws.FILTER('Call Log'!$D$4:$D$381,Table5[Referral ID]=Referral[[#This Row],[Referral ID]]))</f>
        <v>1</v>
      </c>
      <c r="I67" t="str">
        <f>IF(Referral[[#This Row],[Carer Found?]], "Fostering", "Residential")</f>
        <v>Fostering</v>
      </c>
    </row>
    <row r="68" spans="2:9" x14ac:dyDescent="0.45">
      <c r="B68">
        <v>66</v>
      </c>
      <c r="C68">
        <f>CEILING(Referral[[#This Row],[Referral ID]]/50,1)</f>
        <v>2</v>
      </c>
      <c r="D68" t="s">
        <v>20</v>
      </c>
      <c r="E68" t="s">
        <v>68</v>
      </c>
      <c r="F68">
        <v>2</v>
      </c>
      <c r="G68">
        <v>1</v>
      </c>
      <c r="H68" t="b" cm="1">
        <f t="array" ref="H68">OR(_xlfn._xlws.FILTER('Call Log'!$D$4:$D$381,Table5[Referral ID]=Referral[[#This Row],[Referral ID]]))</f>
        <v>0</v>
      </c>
      <c r="I68" t="str">
        <f>IF(Referral[[#This Row],[Carer Found?]], "Fostering", "Residential")</f>
        <v>Residential</v>
      </c>
    </row>
    <row r="69" spans="2:9" x14ac:dyDescent="0.45">
      <c r="B69">
        <v>67</v>
      </c>
      <c r="C69">
        <f>CEILING(Referral[[#This Row],[Referral ID]]/50,1)</f>
        <v>2</v>
      </c>
      <c r="D69" t="s">
        <v>16</v>
      </c>
      <c r="E69" t="s">
        <v>66</v>
      </c>
      <c r="F69">
        <v>5</v>
      </c>
      <c r="G69">
        <v>3</v>
      </c>
      <c r="H69" t="b" cm="1">
        <f t="array" ref="H69">OR(_xlfn._xlws.FILTER('Call Log'!$D$4:$D$381,Table5[Referral ID]=Referral[[#This Row],[Referral ID]]))</f>
        <v>1</v>
      </c>
      <c r="I69" t="str">
        <f>IF(Referral[[#This Row],[Carer Found?]], "Fostering", "Residential")</f>
        <v>Fostering</v>
      </c>
    </row>
    <row r="70" spans="2:9" x14ac:dyDescent="0.45">
      <c r="B70">
        <v>68</v>
      </c>
      <c r="C70">
        <f>CEILING(Referral[[#This Row],[Referral ID]]/50,1)</f>
        <v>2</v>
      </c>
      <c r="D70" t="s">
        <v>26</v>
      </c>
      <c r="E70" t="s">
        <v>73</v>
      </c>
      <c r="F70">
        <v>4</v>
      </c>
      <c r="G70">
        <v>4</v>
      </c>
      <c r="H70" t="b" cm="1">
        <f t="array" ref="H70">OR(_xlfn._xlws.FILTER('Call Log'!$D$4:$D$381,Table5[Referral ID]=Referral[[#This Row],[Referral ID]]))</f>
        <v>1</v>
      </c>
      <c r="I70" t="str">
        <f>IF(Referral[[#This Row],[Carer Found?]], "Fostering", "Residential")</f>
        <v>Fostering</v>
      </c>
    </row>
    <row r="71" spans="2:9" x14ac:dyDescent="0.45">
      <c r="B71">
        <v>69</v>
      </c>
      <c r="C71">
        <f>CEILING(Referral[[#This Row],[Referral ID]]/50,1)</f>
        <v>2</v>
      </c>
      <c r="D71" t="s">
        <v>27</v>
      </c>
      <c r="E71" t="s">
        <v>67</v>
      </c>
      <c r="F71">
        <v>4</v>
      </c>
      <c r="G71">
        <v>4</v>
      </c>
      <c r="H71" t="b" cm="1">
        <f t="array" ref="H71">OR(_xlfn._xlws.FILTER('Call Log'!$D$4:$D$381,Table5[Referral ID]=Referral[[#This Row],[Referral ID]]))</f>
        <v>0</v>
      </c>
      <c r="I71" t="str">
        <f>IF(Referral[[#This Row],[Carer Found?]], "Fostering", "Residential")</f>
        <v>Residential</v>
      </c>
    </row>
    <row r="72" spans="2:9" x14ac:dyDescent="0.45">
      <c r="B72">
        <v>70</v>
      </c>
      <c r="C72">
        <f>CEILING(Referral[[#This Row],[Referral ID]]/50,1)</f>
        <v>2</v>
      </c>
      <c r="D72" t="s">
        <v>28</v>
      </c>
      <c r="E72" t="s">
        <v>66</v>
      </c>
      <c r="F72">
        <v>5</v>
      </c>
      <c r="G72">
        <v>5</v>
      </c>
      <c r="H72" t="b" cm="1">
        <f t="array" ref="H72">OR(_xlfn._xlws.FILTER('Call Log'!$D$4:$D$381,Table5[Referral ID]=Referral[[#This Row],[Referral ID]]))</f>
        <v>1</v>
      </c>
      <c r="I72" t="str">
        <f>IF(Referral[[#This Row],[Carer Found?]], "Fostering", "Residential")</f>
        <v>Fostering</v>
      </c>
    </row>
    <row r="73" spans="2:9" x14ac:dyDescent="0.45">
      <c r="B73">
        <v>71</v>
      </c>
      <c r="C73">
        <f>CEILING(Referral[[#This Row],[Referral ID]]/50,1)</f>
        <v>2</v>
      </c>
      <c r="D73" t="s">
        <v>29</v>
      </c>
      <c r="E73" t="s">
        <v>67</v>
      </c>
      <c r="F73">
        <v>2</v>
      </c>
      <c r="G73">
        <v>0</v>
      </c>
      <c r="H73" t="b" cm="1">
        <f t="array" ref="H73">OR(_xlfn._xlws.FILTER('Call Log'!$D$4:$D$381,Table5[Referral ID]=Referral[[#This Row],[Referral ID]]))</f>
        <v>0</v>
      </c>
      <c r="I73" t="str">
        <f>IF(Referral[[#This Row],[Carer Found?]], "Fostering", "Residential")</f>
        <v>Residential</v>
      </c>
    </row>
    <row r="74" spans="2:9" x14ac:dyDescent="0.45">
      <c r="B74">
        <v>72</v>
      </c>
      <c r="C74">
        <f>CEILING(Referral[[#This Row],[Referral ID]]/50,1)</f>
        <v>2</v>
      </c>
      <c r="D74" t="s">
        <v>30</v>
      </c>
      <c r="E74" t="s">
        <v>64</v>
      </c>
      <c r="F74">
        <v>17</v>
      </c>
      <c r="G74">
        <v>7</v>
      </c>
      <c r="H74" t="b" cm="1">
        <f t="array" ref="H74">OR(_xlfn._xlws.FILTER('Call Log'!$D$4:$D$381,Table5[Referral ID]=Referral[[#This Row],[Referral ID]]))</f>
        <v>1</v>
      </c>
      <c r="I74" t="str">
        <f>IF(Referral[[#This Row],[Carer Found?]], "Fostering", "Residential")</f>
        <v>Fostering</v>
      </c>
    </row>
    <row r="75" spans="2:9" x14ac:dyDescent="0.45">
      <c r="B75">
        <v>73</v>
      </c>
      <c r="C75">
        <f>CEILING(Referral[[#This Row],[Referral ID]]/50,1)</f>
        <v>2</v>
      </c>
      <c r="D75" t="s">
        <v>31</v>
      </c>
      <c r="E75" t="s">
        <v>72</v>
      </c>
      <c r="F75">
        <v>1</v>
      </c>
      <c r="G75">
        <v>0</v>
      </c>
      <c r="H75" t="b" cm="1">
        <f t="array" ref="H75">OR(_xlfn._xlws.FILTER('Call Log'!$D$4:$D$381,Table5[Referral ID]=Referral[[#This Row],[Referral ID]]))</f>
        <v>1</v>
      </c>
      <c r="I75" t="str">
        <f>IF(Referral[[#This Row],[Carer Found?]], "Fostering", "Residential")</f>
        <v>Fostering</v>
      </c>
    </row>
    <row r="76" spans="2:9" x14ac:dyDescent="0.45">
      <c r="B76">
        <v>74</v>
      </c>
      <c r="C76">
        <f>CEILING(Referral[[#This Row],[Referral ID]]/50,1)</f>
        <v>2</v>
      </c>
      <c r="D76" t="s">
        <v>32</v>
      </c>
      <c r="E76" t="s">
        <v>70</v>
      </c>
      <c r="F76">
        <v>1</v>
      </c>
      <c r="G76">
        <v>1</v>
      </c>
      <c r="H76" t="b" cm="1">
        <f t="array" ref="H76">OR(_xlfn._xlws.FILTER('Call Log'!$D$4:$D$381,Table5[Referral ID]=Referral[[#This Row],[Referral ID]]))</f>
        <v>0</v>
      </c>
      <c r="I76" t="str">
        <f>IF(Referral[[#This Row],[Carer Found?]], "Fostering", "Residential")</f>
        <v>Residential</v>
      </c>
    </row>
    <row r="77" spans="2:9" x14ac:dyDescent="0.45">
      <c r="B77">
        <v>75</v>
      </c>
      <c r="C77">
        <f>CEILING(Referral[[#This Row],[Referral ID]]/50,1)</f>
        <v>2</v>
      </c>
      <c r="D77" t="s">
        <v>33</v>
      </c>
      <c r="E77" t="s">
        <v>73</v>
      </c>
      <c r="F77">
        <v>7</v>
      </c>
      <c r="G77">
        <v>4</v>
      </c>
      <c r="H77" t="b" cm="1">
        <f t="array" ref="H77">OR(_xlfn._xlws.FILTER('Call Log'!$D$4:$D$381,Table5[Referral ID]=Referral[[#This Row],[Referral ID]]))</f>
        <v>0</v>
      </c>
      <c r="I77" t="str">
        <f>IF(Referral[[#This Row],[Carer Found?]], "Fostering", "Residential")</f>
        <v>Residential</v>
      </c>
    </row>
    <row r="78" spans="2:9" x14ac:dyDescent="0.45">
      <c r="B78">
        <v>76</v>
      </c>
      <c r="C78">
        <f>CEILING(Referral[[#This Row],[Referral ID]]/50,1)</f>
        <v>2</v>
      </c>
      <c r="D78" t="s">
        <v>34</v>
      </c>
      <c r="E78" t="s">
        <v>68</v>
      </c>
      <c r="F78">
        <v>7</v>
      </c>
      <c r="G78">
        <v>6</v>
      </c>
      <c r="H78" t="b" cm="1">
        <f t="array" ref="H78">OR(_xlfn._xlws.FILTER('Call Log'!$D$4:$D$381,Table5[Referral ID]=Referral[[#This Row],[Referral ID]]))</f>
        <v>1</v>
      </c>
      <c r="I78" t="str">
        <f>IF(Referral[[#This Row],[Carer Found?]], "Fostering", "Residential")</f>
        <v>Fostering</v>
      </c>
    </row>
    <row r="79" spans="2:9" x14ac:dyDescent="0.45">
      <c r="B79">
        <v>77</v>
      </c>
      <c r="C79">
        <f>CEILING(Referral[[#This Row],[Referral ID]]/50,1)</f>
        <v>2</v>
      </c>
      <c r="D79" t="s">
        <v>35</v>
      </c>
      <c r="E79" t="s">
        <v>67</v>
      </c>
      <c r="F79">
        <v>4</v>
      </c>
      <c r="G79">
        <v>3</v>
      </c>
      <c r="H79" t="b" cm="1">
        <f t="array" ref="H79">OR(_xlfn._xlws.FILTER('Call Log'!$D$4:$D$381,Table5[Referral ID]=Referral[[#This Row],[Referral ID]]))</f>
        <v>1</v>
      </c>
      <c r="I79" t="str">
        <f>IF(Referral[[#This Row],[Carer Found?]], "Fostering", "Residential")</f>
        <v>Fostering</v>
      </c>
    </row>
    <row r="80" spans="2:9" x14ac:dyDescent="0.45">
      <c r="B80">
        <v>78</v>
      </c>
      <c r="C80">
        <f>CEILING(Referral[[#This Row],[Referral ID]]/50,1)</f>
        <v>2</v>
      </c>
      <c r="D80" t="s">
        <v>36</v>
      </c>
      <c r="E80" t="s">
        <v>67</v>
      </c>
      <c r="F80">
        <v>7</v>
      </c>
      <c r="G80">
        <v>5</v>
      </c>
      <c r="H80" t="b" cm="1">
        <f t="array" ref="H80">OR(_xlfn._xlws.FILTER('Call Log'!$D$4:$D$381,Table5[Referral ID]=Referral[[#This Row],[Referral ID]]))</f>
        <v>1</v>
      </c>
      <c r="I80" t="str">
        <f>IF(Referral[[#This Row],[Carer Found?]], "Fostering", "Residential")</f>
        <v>Fostering</v>
      </c>
    </row>
    <row r="81" spans="2:9" x14ac:dyDescent="0.45">
      <c r="B81">
        <v>79</v>
      </c>
      <c r="C81">
        <f>CEILING(Referral[[#This Row],[Referral ID]]/50,1)</f>
        <v>2</v>
      </c>
      <c r="D81" t="s">
        <v>37</v>
      </c>
      <c r="E81" t="s">
        <v>66</v>
      </c>
      <c r="F81">
        <v>4</v>
      </c>
      <c r="G81">
        <v>3</v>
      </c>
      <c r="H81" t="b" cm="1">
        <f t="array" ref="H81">OR(_xlfn._xlws.FILTER('Call Log'!$D$4:$D$381,Table5[Referral ID]=Referral[[#This Row],[Referral ID]]))</f>
        <v>0</v>
      </c>
      <c r="I81" t="str">
        <f>IF(Referral[[#This Row],[Carer Found?]], "Fostering", "Residential")</f>
        <v>Residential</v>
      </c>
    </row>
    <row r="82" spans="2:9" x14ac:dyDescent="0.45">
      <c r="B82">
        <v>80</v>
      </c>
      <c r="C82">
        <f>CEILING(Referral[[#This Row],[Referral ID]]/50,1)</f>
        <v>2</v>
      </c>
      <c r="D82" t="s">
        <v>38</v>
      </c>
      <c r="E82" t="s">
        <v>69</v>
      </c>
      <c r="F82">
        <v>5</v>
      </c>
      <c r="G82">
        <v>5</v>
      </c>
      <c r="H82" t="b" cm="1">
        <f t="array" ref="H82">OR(_xlfn._xlws.FILTER('Call Log'!$D$4:$D$381,Table5[Referral ID]=Referral[[#This Row],[Referral ID]]))</f>
        <v>1</v>
      </c>
      <c r="I82" t="str">
        <f>IF(Referral[[#This Row],[Carer Found?]], "Fostering", "Residential")</f>
        <v>Fostering</v>
      </c>
    </row>
    <row r="83" spans="2:9" x14ac:dyDescent="0.45">
      <c r="B83">
        <v>81</v>
      </c>
      <c r="C83">
        <f>CEILING(Referral[[#This Row],[Referral ID]]/50,1)</f>
        <v>2</v>
      </c>
      <c r="D83" t="s">
        <v>39</v>
      </c>
      <c r="E83" t="s">
        <v>66</v>
      </c>
      <c r="F83">
        <v>8</v>
      </c>
      <c r="G83">
        <v>6</v>
      </c>
      <c r="H83" t="b" cm="1">
        <f t="array" ref="H83">OR(_xlfn._xlws.FILTER('Call Log'!$D$4:$D$381,Table5[Referral ID]=Referral[[#This Row],[Referral ID]]))</f>
        <v>0</v>
      </c>
      <c r="I83" t="str">
        <f>IF(Referral[[#This Row],[Carer Found?]], "Fostering", "Residential")</f>
        <v>Residential</v>
      </c>
    </row>
    <row r="84" spans="2:9" x14ac:dyDescent="0.45">
      <c r="B84">
        <v>82</v>
      </c>
      <c r="C84">
        <f>CEILING(Referral[[#This Row],[Referral ID]]/50,1)</f>
        <v>2</v>
      </c>
      <c r="D84" t="s">
        <v>40</v>
      </c>
      <c r="E84" t="s">
        <v>73</v>
      </c>
      <c r="F84">
        <v>13</v>
      </c>
      <c r="G84">
        <v>7</v>
      </c>
      <c r="H84" t="b" cm="1">
        <f t="array" ref="H84">OR(_xlfn._xlws.FILTER('Call Log'!$D$4:$D$381,Table5[Referral ID]=Referral[[#This Row],[Referral ID]]))</f>
        <v>1</v>
      </c>
      <c r="I84" t="str">
        <f>IF(Referral[[#This Row],[Carer Found?]], "Fostering", "Residential")</f>
        <v>Fostering</v>
      </c>
    </row>
    <row r="85" spans="2:9" x14ac:dyDescent="0.45">
      <c r="B85">
        <v>83</v>
      </c>
      <c r="C85">
        <f>CEILING(Referral[[#This Row],[Referral ID]]/50,1)</f>
        <v>2</v>
      </c>
      <c r="D85" t="s">
        <v>41</v>
      </c>
      <c r="E85" t="s">
        <v>71</v>
      </c>
      <c r="F85">
        <v>3</v>
      </c>
      <c r="G85">
        <v>3</v>
      </c>
      <c r="H85" t="b" cm="1">
        <f t="array" ref="H85">OR(_xlfn._xlws.FILTER('Call Log'!$D$4:$D$381,Table5[Referral ID]=Referral[[#This Row],[Referral ID]]))</f>
        <v>1</v>
      </c>
      <c r="I85" t="str">
        <f>IF(Referral[[#This Row],[Carer Found?]], "Fostering", "Residential")</f>
        <v>Fostering</v>
      </c>
    </row>
    <row r="86" spans="2:9" x14ac:dyDescent="0.45">
      <c r="B86">
        <v>84</v>
      </c>
      <c r="C86">
        <f>CEILING(Referral[[#This Row],[Referral ID]]/50,1)</f>
        <v>2</v>
      </c>
      <c r="D86" t="s">
        <v>42</v>
      </c>
      <c r="E86" t="s">
        <v>70</v>
      </c>
      <c r="F86">
        <v>5</v>
      </c>
      <c r="G86">
        <v>5</v>
      </c>
      <c r="H86" t="b" cm="1">
        <f t="array" ref="H86">OR(_xlfn._xlws.FILTER('Call Log'!$D$4:$D$381,Table5[Referral ID]=Referral[[#This Row],[Referral ID]]))</f>
        <v>1</v>
      </c>
      <c r="I86" t="str">
        <f>IF(Referral[[#This Row],[Carer Found?]], "Fostering", "Residential")</f>
        <v>Fostering</v>
      </c>
    </row>
    <row r="87" spans="2:9" x14ac:dyDescent="0.45">
      <c r="B87">
        <v>85</v>
      </c>
      <c r="C87">
        <f>CEILING(Referral[[#This Row],[Referral ID]]/50,1)</f>
        <v>2</v>
      </c>
      <c r="D87" t="s">
        <v>43</v>
      </c>
      <c r="E87" t="s">
        <v>64</v>
      </c>
      <c r="F87">
        <v>6</v>
      </c>
      <c r="G87">
        <v>1</v>
      </c>
      <c r="H87" t="b" cm="1">
        <f t="array" ref="H87">OR(_xlfn._xlws.FILTER('Call Log'!$D$4:$D$381,Table5[Referral ID]=Referral[[#This Row],[Referral ID]]))</f>
        <v>1</v>
      </c>
      <c r="I87" t="str">
        <f>IF(Referral[[#This Row],[Carer Found?]], "Fostering", "Residential")</f>
        <v>Fostering</v>
      </c>
    </row>
    <row r="88" spans="2:9" x14ac:dyDescent="0.45">
      <c r="B88">
        <v>86</v>
      </c>
      <c r="C88">
        <f>CEILING(Referral[[#This Row],[Referral ID]]/50,1)</f>
        <v>2</v>
      </c>
      <c r="D88" t="s">
        <v>44</v>
      </c>
      <c r="E88" t="s">
        <v>65</v>
      </c>
      <c r="F88">
        <v>5</v>
      </c>
      <c r="G88">
        <v>0</v>
      </c>
      <c r="H88" t="b" cm="1">
        <f t="array" ref="H88">OR(_xlfn._xlws.FILTER('Call Log'!$D$4:$D$381,Table5[Referral ID]=Referral[[#This Row],[Referral ID]]))</f>
        <v>0</v>
      </c>
      <c r="I88" t="str">
        <f>IF(Referral[[#This Row],[Carer Found?]], "Fostering", "Residential")</f>
        <v>Residential</v>
      </c>
    </row>
    <row r="89" spans="2:9" x14ac:dyDescent="0.45">
      <c r="B89">
        <v>87</v>
      </c>
      <c r="C89">
        <f>CEILING(Referral[[#This Row],[Referral ID]]/50,1)</f>
        <v>2</v>
      </c>
      <c r="D89" t="s">
        <v>45</v>
      </c>
      <c r="E89" t="s">
        <v>67</v>
      </c>
      <c r="F89">
        <v>8</v>
      </c>
      <c r="G89">
        <v>7</v>
      </c>
      <c r="H89" t="b" cm="1">
        <f t="array" ref="H89">OR(_xlfn._xlws.FILTER('Call Log'!$D$4:$D$381,Table5[Referral ID]=Referral[[#This Row],[Referral ID]]))</f>
        <v>1</v>
      </c>
      <c r="I89" t="str">
        <f>IF(Referral[[#This Row],[Carer Found?]], "Fostering", "Residential")</f>
        <v>Fostering</v>
      </c>
    </row>
    <row r="90" spans="2:9" x14ac:dyDescent="0.45">
      <c r="B90">
        <v>88</v>
      </c>
      <c r="C90">
        <f>CEILING(Referral[[#This Row],[Referral ID]]/50,1)</f>
        <v>2</v>
      </c>
      <c r="D90" t="s">
        <v>46</v>
      </c>
      <c r="E90" t="s">
        <v>72</v>
      </c>
      <c r="F90">
        <v>6</v>
      </c>
      <c r="G90">
        <v>1</v>
      </c>
      <c r="H90" t="b" cm="1">
        <f t="array" ref="H90">OR(_xlfn._xlws.FILTER('Call Log'!$D$4:$D$381,Table5[Referral ID]=Referral[[#This Row],[Referral ID]]))</f>
        <v>0</v>
      </c>
      <c r="I90" t="str">
        <f>IF(Referral[[#This Row],[Carer Found?]], "Fostering", "Residential")</f>
        <v>Residential</v>
      </c>
    </row>
    <row r="91" spans="2:9" x14ac:dyDescent="0.45">
      <c r="B91">
        <v>89</v>
      </c>
      <c r="C91">
        <f>CEILING(Referral[[#This Row],[Referral ID]]/50,1)</f>
        <v>2</v>
      </c>
      <c r="D91" t="s">
        <v>47</v>
      </c>
      <c r="E91" t="s">
        <v>67</v>
      </c>
      <c r="F91">
        <v>10</v>
      </c>
      <c r="G91">
        <v>7</v>
      </c>
      <c r="H91" t="b" cm="1">
        <f t="array" ref="H91">OR(_xlfn._xlws.FILTER('Call Log'!$D$4:$D$381,Table5[Referral ID]=Referral[[#This Row],[Referral ID]]))</f>
        <v>1</v>
      </c>
      <c r="I91" t="str">
        <f>IF(Referral[[#This Row],[Carer Found?]], "Fostering", "Residential")</f>
        <v>Fostering</v>
      </c>
    </row>
    <row r="92" spans="2:9" x14ac:dyDescent="0.45">
      <c r="B92">
        <v>90</v>
      </c>
      <c r="C92">
        <f>CEILING(Referral[[#This Row],[Referral ID]]/50,1)</f>
        <v>2</v>
      </c>
      <c r="D92" t="s">
        <v>12</v>
      </c>
      <c r="E92" t="s">
        <v>71</v>
      </c>
      <c r="F92">
        <v>7</v>
      </c>
      <c r="G92">
        <v>7</v>
      </c>
      <c r="H92" t="b" cm="1">
        <f t="array" ref="H92">OR(_xlfn._xlws.FILTER('Call Log'!$D$4:$D$381,Table5[Referral ID]=Referral[[#This Row],[Referral ID]]))</f>
        <v>1</v>
      </c>
      <c r="I92" t="str">
        <f>IF(Referral[[#This Row],[Carer Found?]], "Fostering", "Residential")</f>
        <v>Fostering</v>
      </c>
    </row>
    <row r="93" spans="2:9" x14ac:dyDescent="0.45">
      <c r="B93">
        <v>91</v>
      </c>
      <c r="C93">
        <f>CEILING(Referral[[#This Row],[Referral ID]]/50,1)</f>
        <v>2</v>
      </c>
      <c r="D93" t="s">
        <v>48</v>
      </c>
      <c r="E93" t="s">
        <v>68</v>
      </c>
      <c r="F93">
        <v>6</v>
      </c>
      <c r="G93">
        <v>6</v>
      </c>
      <c r="H93" t="b" cm="1">
        <f t="array" ref="H93">OR(_xlfn._xlws.FILTER('Call Log'!$D$4:$D$381,Table5[Referral ID]=Referral[[#This Row],[Referral ID]]))</f>
        <v>1</v>
      </c>
      <c r="I93" t="str">
        <f>IF(Referral[[#This Row],[Carer Found?]], "Fostering", "Residential")</f>
        <v>Fostering</v>
      </c>
    </row>
    <row r="94" spans="2:9" x14ac:dyDescent="0.45">
      <c r="B94">
        <v>92</v>
      </c>
      <c r="C94">
        <f>CEILING(Referral[[#This Row],[Referral ID]]/50,1)</f>
        <v>2</v>
      </c>
      <c r="D94" t="s">
        <v>49</v>
      </c>
      <c r="E94" t="s">
        <v>70</v>
      </c>
      <c r="F94">
        <v>5</v>
      </c>
      <c r="G94">
        <v>5</v>
      </c>
      <c r="H94" t="b" cm="1">
        <f t="array" ref="H94">OR(_xlfn._xlws.FILTER('Call Log'!$D$4:$D$381,Table5[Referral ID]=Referral[[#This Row],[Referral ID]]))</f>
        <v>1</v>
      </c>
      <c r="I94" t="str">
        <f>IF(Referral[[#This Row],[Carer Found?]], "Fostering", "Residential")</f>
        <v>Fostering</v>
      </c>
    </row>
    <row r="95" spans="2:9" x14ac:dyDescent="0.45">
      <c r="B95">
        <v>93</v>
      </c>
      <c r="C95">
        <f>CEILING(Referral[[#This Row],[Referral ID]]/50,1)</f>
        <v>2</v>
      </c>
      <c r="D95" t="s">
        <v>50</v>
      </c>
      <c r="E95" t="s">
        <v>65</v>
      </c>
      <c r="F95">
        <v>0</v>
      </c>
      <c r="G95">
        <v>0</v>
      </c>
      <c r="H95" t="b" cm="1">
        <f t="array" ref="H95">OR(_xlfn._xlws.FILTER('Call Log'!$D$4:$D$381,Table5[Referral ID]=Referral[[#This Row],[Referral ID]]))</f>
        <v>0</v>
      </c>
      <c r="I95" t="str">
        <f>IF(Referral[[#This Row],[Carer Found?]], "Fostering", "Residential")</f>
        <v>Residential</v>
      </c>
    </row>
    <row r="96" spans="2:9" x14ac:dyDescent="0.45">
      <c r="B96">
        <v>94</v>
      </c>
      <c r="C96">
        <f>CEILING(Referral[[#This Row],[Referral ID]]/50,1)</f>
        <v>2</v>
      </c>
      <c r="D96" t="s">
        <v>51</v>
      </c>
      <c r="E96" t="s">
        <v>72</v>
      </c>
      <c r="F96">
        <v>9</v>
      </c>
      <c r="G96">
        <v>6</v>
      </c>
      <c r="H96" t="b" cm="1">
        <f t="array" ref="H96">OR(_xlfn._xlws.FILTER('Call Log'!$D$4:$D$381,Table5[Referral ID]=Referral[[#This Row],[Referral ID]]))</f>
        <v>1</v>
      </c>
      <c r="I96" t="str">
        <f>IF(Referral[[#This Row],[Carer Found?]], "Fostering", "Residential")</f>
        <v>Fostering</v>
      </c>
    </row>
    <row r="97" spans="2:9" x14ac:dyDescent="0.45">
      <c r="B97">
        <v>95</v>
      </c>
      <c r="C97">
        <f>CEILING(Referral[[#This Row],[Referral ID]]/50,1)</f>
        <v>2</v>
      </c>
      <c r="D97" t="s">
        <v>52</v>
      </c>
      <c r="E97" t="s">
        <v>68</v>
      </c>
      <c r="F97">
        <v>2</v>
      </c>
      <c r="G97">
        <v>2</v>
      </c>
      <c r="H97" t="b" cm="1">
        <f t="array" ref="H97">OR(_xlfn._xlws.FILTER('Call Log'!$D$4:$D$381,Table5[Referral ID]=Referral[[#This Row],[Referral ID]]))</f>
        <v>1</v>
      </c>
      <c r="I97" t="str">
        <f>IF(Referral[[#This Row],[Carer Found?]], "Fostering", "Residential")</f>
        <v>Fostering</v>
      </c>
    </row>
    <row r="98" spans="2:9" x14ac:dyDescent="0.45">
      <c r="B98">
        <v>96</v>
      </c>
      <c r="C98">
        <f>CEILING(Referral[[#This Row],[Referral ID]]/50,1)</f>
        <v>2</v>
      </c>
      <c r="D98" t="s">
        <v>53</v>
      </c>
      <c r="E98" t="s">
        <v>67</v>
      </c>
      <c r="F98">
        <v>2</v>
      </c>
      <c r="G98">
        <v>0</v>
      </c>
      <c r="H98" t="b" cm="1">
        <f t="array" ref="H98">OR(_xlfn._xlws.FILTER('Call Log'!$D$4:$D$381,Table5[Referral ID]=Referral[[#This Row],[Referral ID]]))</f>
        <v>0</v>
      </c>
      <c r="I98" t="str">
        <f>IF(Referral[[#This Row],[Carer Found?]], "Fostering", "Residential")</f>
        <v>Residential</v>
      </c>
    </row>
    <row r="99" spans="2:9" x14ac:dyDescent="0.45">
      <c r="B99">
        <v>97</v>
      </c>
      <c r="C99">
        <f>CEILING(Referral[[#This Row],[Referral ID]]/50,1)</f>
        <v>2</v>
      </c>
      <c r="D99" t="s">
        <v>54</v>
      </c>
      <c r="E99" t="s">
        <v>71</v>
      </c>
      <c r="F99">
        <v>4</v>
      </c>
      <c r="G99">
        <v>4</v>
      </c>
      <c r="H99" t="b" cm="1">
        <f t="array" ref="H99">OR(_xlfn._xlws.FILTER('Call Log'!$D$4:$D$381,Table5[Referral ID]=Referral[[#This Row],[Referral ID]]))</f>
        <v>1</v>
      </c>
      <c r="I99" t="str">
        <f>IF(Referral[[#This Row],[Carer Found?]], "Fostering", "Residential")</f>
        <v>Fostering</v>
      </c>
    </row>
    <row r="100" spans="2:9" x14ac:dyDescent="0.45">
      <c r="B100">
        <v>98</v>
      </c>
      <c r="C100">
        <f>CEILING(Referral[[#This Row],[Referral ID]]/50,1)</f>
        <v>2</v>
      </c>
      <c r="D100" t="s">
        <v>55</v>
      </c>
      <c r="E100" t="s">
        <v>69</v>
      </c>
      <c r="F100">
        <v>1</v>
      </c>
      <c r="G100">
        <v>1</v>
      </c>
      <c r="H100" t="b" cm="1">
        <f t="array" ref="H100">OR(_xlfn._xlws.FILTER('Call Log'!$D$4:$D$381,Table5[Referral ID]=Referral[[#This Row],[Referral ID]]))</f>
        <v>1</v>
      </c>
      <c r="I100" t="str">
        <f>IF(Referral[[#This Row],[Carer Found?]], "Fostering", "Residential")</f>
        <v>Fostering</v>
      </c>
    </row>
    <row r="101" spans="2:9" x14ac:dyDescent="0.45">
      <c r="B101">
        <v>99</v>
      </c>
      <c r="C101">
        <f>CEILING(Referral[[#This Row],[Referral ID]]/50,1)</f>
        <v>2</v>
      </c>
      <c r="D101" t="s">
        <v>56</v>
      </c>
      <c r="E101" t="s">
        <v>69</v>
      </c>
      <c r="F101">
        <v>1</v>
      </c>
      <c r="G101">
        <v>1</v>
      </c>
      <c r="H101" t="b" cm="1">
        <f t="array" ref="H101">OR(_xlfn._xlws.FILTER('Call Log'!$D$4:$D$381,Table5[Referral ID]=Referral[[#This Row],[Referral ID]]))</f>
        <v>0</v>
      </c>
      <c r="I101" t="str">
        <f>IF(Referral[[#This Row],[Carer Found?]], "Fostering", "Residential")</f>
        <v>Residential</v>
      </c>
    </row>
    <row r="102" spans="2:9" x14ac:dyDescent="0.45">
      <c r="B102">
        <v>100</v>
      </c>
      <c r="C102">
        <f>CEILING(Referral[[#This Row],[Referral ID]]/50,1)</f>
        <v>2</v>
      </c>
      <c r="D102" t="s">
        <v>57</v>
      </c>
      <c r="E102" t="s">
        <v>69</v>
      </c>
      <c r="F102">
        <v>5</v>
      </c>
      <c r="G102">
        <v>5</v>
      </c>
      <c r="H102" t="b" cm="1">
        <f t="array" ref="H102">OR(_xlfn._xlws.FILTER('Call Log'!$D$4:$D$381,Table5[Referral ID]=Referral[[#This Row],[Referral ID]]))</f>
        <v>1</v>
      </c>
      <c r="I102" t="str">
        <f>IF(Referral[[#This Row],[Carer Found?]], "Fostering", "Residential")</f>
        <v>Fostering</v>
      </c>
    </row>
    <row r="103" spans="2:9" x14ac:dyDescent="0.45">
      <c r="C103" s="1"/>
      <c r="F103">
        <f>SUM(Referral[Vacant carers])</f>
        <v>518</v>
      </c>
      <c r="G103">
        <f>SUM(Referral[Calls Made])</f>
        <v>366</v>
      </c>
      <c r="H103" s="1"/>
      <c r="I103" s="1"/>
    </row>
  </sheetData>
  <phoneticPr fontId="2" type="noConversion"/>
  <pageMargins left="0.7" right="0.7" top="0.75" bottom="0.75" header="0.3" footer="0.3"/>
  <headerFooter>
    <oddFooter>&amp;C_x000D_&amp;1#&amp;"Calibri"&amp;10&amp;K000000 OFFICIAL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3A69-D2CF-42D0-B8C2-CC12F954998B}">
  <dimension ref="B2:E380"/>
  <sheetViews>
    <sheetView showGridLines="0" zoomScale="85" zoomScaleNormal="85" workbookViewId="0">
      <selection activeCell="E7" sqref="E7"/>
    </sheetView>
  </sheetViews>
  <sheetFormatPr defaultRowHeight="14.25" x14ac:dyDescent="0.45"/>
  <cols>
    <col min="1" max="1" width="3.53125" customWidth="1"/>
    <col min="2" max="2" width="13" bestFit="1" customWidth="1"/>
    <col min="3" max="3" width="8.265625" bestFit="1" customWidth="1"/>
    <col min="4" max="4" width="18.265625" bestFit="1" customWidth="1"/>
    <col min="5" max="5" width="37.46484375" bestFit="1" customWidth="1"/>
  </cols>
  <sheetData>
    <row r="2" spans="2:5" x14ac:dyDescent="0.45">
      <c r="B2" t="s">
        <v>4</v>
      </c>
      <c r="C2" t="s">
        <v>74</v>
      </c>
      <c r="D2" t="s">
        <v>83</v>
      </c>
      <c r="E2" t="s">
        <v>75</v>
      </c>
    </row>
    <row r="3" spans="2:5" x14ac:dyDescent="0.45">
      <c r="B3">
        <v>1</v>
      </c>
      <c r="C3">
        <v>0</v>
      </c>
      <c r="D3" t="b">
        <v>0</v>
      </c>
      <c r="E3" t="s">
        <v>77</v>
      </c>
    </row>
    <row r="4" spans="2:5" x14ac:dyDescent="0.45">
      <c r="B4">
        <v>1</v>
      </c>
      <c r="C4">
        <v>1</v>
      </c>
      <c r="D4" t="b">
        <v>0</v>
      </c>
      <c r="E4" t="s">
        <v>77</v>
      </c>
    </row>
    <row r="5" spans="2:5" x14ac:dyDescent="0.45">
      <c r="B5">
        <v>1</v>
      </c>
      <c r="C5">
        <v>2</v>
      </c>
      <c r="D5" t="b">
        <v>0</v>
      </c>
      <c r="E5" t="s">
        <v>77</v>
      </c>
    </row>
    <row r="6" spans="2:5" x14ac:dyDescent="0.45">
      <c r="B6">
        <v>1</v>
      </c>
      <c r="C6">
        <v>3</v>
      </c>
      <c r="D6" t="b">
        <v>0</v>
      </c>
      <c r="E6" t="s">
        <v>77</v>
      </c>
    </row>
    <row r="7" spans="2:5" x14ac:dyDescent="0.45">
      <c r="B7">
        <v>1</v>
      </c>
      <c r="C7">
        <v>4</v>
      </c>
      <c r="D7" t="b">
        <v>0</v>
      </c>
      <c r="E7" t="s">
        <v>77</v>
      </c>
    </row>
    <row r="8" spans="2:5" x14ac:dyDescent="0.45">
      <c r="B8">
        <v>1</v>
      </c>
      <c r="C8">
        <v>5</v>
      </c>
      <c r="D8" t="b">
        <v>0</v>
      </c>
      <c r="E8" t="s">
        <v>77</v>
      </c>
    </row>
    <row r="9" spans="2:5" x14ac:dyDescent="0.45">
      <c r="B9">
        <v>1</v>
      </c>
      <c r="C9">
        <v>6</v>
      </c>
      <c r="D9" t="b">
        <v>0</v>
      </c>
      <c r="E9" t="s">
        <v>78</v>
      </c>
    </row>
    <row r="10" spans="2:5" x14ac:dyDescent="0.45">
      <c r="B10">
        <v>2</v>
      </c>
      <c r="C10">
        <v>0</v>
      </c>
      <c r="D10" t="b">
        <v>0</v>
      </c>
      <c r="E10" t="s">
        <v>77</v>
      </c>
    </row>
    <row r="11" spans="2:5" x14ac:dyDescent="0.45">
      <c r="B11">
        <v>2</v>
      </c>
      <c r="C11">
        <v>1</v>
      </c>
      <c r="D11" t="b">
        <v>0</v>
      </c>
      <c r="E11" t="s">
        <v>78</v>
      </c>
    </row>
    <row r="12" spans="2:5" x14ac:dyDescent="0.45">
      <c r="B12">
        <v>2</v>
      </c>
      <c r="C12">
        <v>2</v>
      </c>
      <c r="D12" t="b">
        <v>0</v>
      </c>
      <c r="E12" t="s">
        <v>77</v>
      </c>
    </row>
    <row r="13" spans="2:5" x14ac:dyDescent="0.45">
      <c r="B13">
        <v>2</v>
      </c>
      <c r="C13">
        <v>3</v>
      </c>
      <c r="D13" t="b">
        <v>0</v>
      </c>
      <c r="E13" t="s">
        <v>77</v>
      </c>
    </row>
    <row r="14" spans="2:5" x14ac:dyDescent="0.45">
      <c r="B14">
        <v>2</v>
      </c>
      <c r="C14">
        <v>4</v>
      </c>
      <c r="D14" t="b">
        <v>1</v>
      </c>
      <c r="E14" t="s">
        <v>77</v>
      </c>
    </row>
    <row r="15" spans="2:5" x14ac:dyDescent="0.45">
      <c r="B15">
        <v>3</v>
      </c>
      <c r="C15">
        <v>0</v>
      </c>
      <c r="D15" t="b">
        <v>0</v>
      </c>
      <c r="E15" t="s">
        <v>81</v>
      </c>
    </row>
    <row r="16" spans="2:5" x14ac:dyDescent="0.45">
      <c r="B16">
        <v>3</v>
      </c>
      <c r="C16">
        <v>1</v>
      </c>
      <c r="D16" t="b">
        <v>1</v>
      </c>
      <c r="E16" t="s">
        <v>77</v>
      </c>
    </row>
    <row r="17" spans="2:5" x14ac:dyDescent="0.45">
      <c r="B17">
        <v>4</v>
      </c>
      <c r="C17">
        <v>0</v>
      </c>
      <c r="D17" t="b">
        <v>0</v>
      </c>
      <c r="E17" t="s">
        <v>77</v>
      </c>
    </row>
    <row r="18" spans="2:5" x14ac:dyDescent="0.45">
      <c r="B18">
        <v>4</v>
      </c>
      <c r="C18">
        <v>1</v>
      </c>
      <c r="D18" t="b">
        <v>0</v>
      </c>
      <c r="E18" t="s">
        <v>80</v>
      </c>
    </row>
    <row r="19" spans="2:5" x14ac:dyDescent="0.45">
      <c r="B19">
        <v>4</v>
      </c>
      <c r="C19">
        <v>2</v>
      </c>
      <c r="D19" t="b">
        <v>0</v>
      </c>
      <c r="E19" t="s">
        <v>77</v>
      </c>
    </row>
    <row r="20" spans="2:5" x14ac:dyDescent="0.45">
      <c r="B20">
        <v>5</v>
      </c>
      <c r="C20">
        <v>0</v>
      </c>
      <c r="D20" t="b">
        <v>0</v>
      </c>
      <c r="E20" t="s">
        <v>77</v>
      </c>
    </row>
    <row r="21" spans="2:5" x14ac:dyDescent="0.45">
      <c r="B21">
        <v>5</v>
      </c>
      <c r="C21">
        <v>1</v>
      </c>
      <c r="D21" t="b">
        <v>0</v>
      </c>
      <c r="E21" t="s">
        <v>77</v>
      </c>
    </row>
    <row r="22" spans="2:5" x14ac:dyDescent="0.45">
      <c r="B22">
        <v>5</v>
      </c>
      <c r="C22">
        <v>2</v>
      </c>
      <c r="D22" t="b">
        <v>0</v>
      </c>
      <c r="E22" t="s">
        <v>77</v>
      </c>
    </row>
    <row r="23" spans="2:5" x14ac:dyDescent="0.45">
      <c r="B23">
        <v>5</v>
      </c>
      <c r="C23">
        <v>3</v>
      </c>
      <c r="D23" t="b">
        <v>0</v>
      </c>
      <c r="E23" t="s">
        <v>77</v>
      </c>
    </row>
    <row r="24" spans="2:5" x14ac:dyDescent="0.45">
      <c r="B24">
        <v>5</v>
      </c>
      <c r="C24">
        <v>4</v>
      </c>
      <c r="D24" t="b">
        <v>0</v>
      </c>
      <c r="E24" t="s">
        <v>78</v>
      </c>
    </row>
    <row r="25" spans="2:5" x14ac:dyDescent="0.45">
      <c r="B25">
        <v>5</v>
      </c>
      <c r="C25">
        <v>5</v>
      </c>
      <c r="D25" t="b">
        <v>1</v>
      </c>
      <c r="E25" t="s">
        <v>77</v>
      </c>
    </row>
    <row r="26" spans="2:5" x14ac:dyDescent="0.45">
      <c r="B26">
        <v>6</v>
      </c>
      <c r="C26">
        <v>0</v>
      </c>
      <c r="D26" t="b">
        <v>0</v>
      </c>
      <c r="E26" t="s">
        <v>77</v>
      </c>
    </row>
    <row r="27" spans="2:5" x14ac:dyDescent="0.45">
      <c r="B27">
        <v>6</v>
      </c>
      <c r="C27">
        <v>1</v>
      </c>
      <c r="D27" t="b">
        <v>0</v>
      </c>
      <c r="E27" t="s">
        <v>77</v>
      </c>
    </row>
    <row r="28" spans="2:5" x14ac:dyDescent="0.45">
      <c r="B28">
        <v>6</v>
      </c>
      <c r="C28">
        <v>2</v>
      </c>
      <c r="D28" t="b">
        <v>0</v>
      </c>
      <c r="E28" t="s">
        <v>77</v>
      </c>
    </row>
    <row r="29" spans="2:5" x14ac:dyDescent="0.45">
      <c r="B29">
        <v>6</v>
      </c>
      <c r="C29">
        <v>3</v>
      </c>
      <c r="D29" t="b">
        <v>0</v>
      </c>
      <c r="E29" t="s">
        <v>79</v>
      </c>
    </row>
    <row r="30" spans="2:5" x14ac:dyDescent="0.45">
      <c r="B30">
        <v>7</v>
      </c>
      <c r="C30">
        <v>0</v>
      </c>
      <c r="D30" t="b">
        <v>0</v>
      </c>
      <c r="E30" t="s">
        <v>77</v>
      </c>
    </row>
    <row r="31" spans="2:5" x14ac:dyDescent="0.45">
      <c r="B31">
        <v>7</v>
      </c>
      <c r="C31">
        <v>1</v>
      </c>
      <c r="D31" t="b">
        <v>0</v>
      </c>
      <c r="E31" t="s">
        <v>77</v>
      </c>
    </row>
    <row r="32" spans="2:5" x14ac:dyDescent="0.45">
      <c r="B32">
        <v>8</v>
      </c>
      <c r="C32">
        <v>0</v>
      </c>
      <c r="D32" t="b">
        <v>0</v>
      </c>
      <c r="E32" t="s">
        <v>79</v>
      </c>
    </row>
    <row r="33" spans="2:5" x14ac:dyDescent="0.45">
      <c r="B33">
        <v>8</v>
      </c>
      <c r="C33">
        <v>1</v>
      </c>
      <c r="D33" t="b">
        <v>0</v>
      </c>
      <c r="E33" t="s">
        <v>78</v>
      </c>
    </row>
    <row r="34" spans="2:5" x14ac:dyDescent="0.45">
      <c r="B34">
        <v>8</v>
      </c>
      <c r="C34">
        <v>2</v>
      </c>
      <c r="D34" t="b">
        <v>0</v>
      </c>
      <c r="E34" t="s">
        <v>77</v>
      </c>
    </row>
    <row r="35" spans="2:5" x14ac:dyDescent="0.45">
      <c r="B35">
        <v>8</v>
      </c>
      <c r="C35">
        <v>3</v>
      </c>
      <c r="D35" t="b">
        <v>0</v>
      </c>
      <c r="E35" t="s">
        <v>77</v>
      </c>
    </row>
    <row r="36" spans="2:5" x14ac:dyDescent="0.45">
      <c r="B36">
        <v>8</v>
      </c>
      <c r="C36">
        <v>4</v>
      </c>
      <c r="D36" t="b">
        <v>0</v>
      </c>
      <c r="E36" t="s">
        <v>77</v>
      </c>
    </row>
    <row r="37" spans="2:5" x14ac:dyDescent="0.45">
      <c r="B37">
        <v>8</v>
      </c>
      <c r="C37">
        <v>5</v>
      </c>
      <c r="D37" t="b">
        <v>0</v>
      </c>
      <c r="E37" t="s">
        <v>78</v>
      </c>
    </row>
    <row r="38" spans="2:5" x14ac:dyDescent="0.45">
      <c r="B38">
        <v>9</v>
      </c>
      <c r="C38">
        <v>0</v>
      </c>
      <c r="D38" t="b">
        <v>0</v>
      </c>
      <c r="E38" t="s">
        <v>78</v>
      </c>
    </row>
    <row r="39" spans="2:5" x14ac:dyDescent="0.45">
      <c r="B39">
        <v>9</v>
      </c>
      <c r="C39">
        <v>1</v>
      </c>
      <c r="D39" t="b">
        <v>0</v>
      </c>
      <c r="E39" t="s">
        <v>77</v>
      </c>
    </row>
    <row r="40" spans="2:5" x14ac:dyDescent="0.45">
      <c r="B40">
        <v>9</v>
      </c>
      <c r="C40">
        <v>2</v>
      </c>
      <c r="D40" t="b">
        <v>1</v>
      </c>
      <c r="E40" t="s">
        <v>77</v>
      </c>
    </row>
    <row r="41" spans="2:5" x14ac:dyDescent="0.45">
      <c r="B41">
        <v>10</v>
      </c>
      <c r="C41">
        <v>0</v>
      </c>
      <c r="D41" t="b">
        <v>0</v>
      </c>
      <c r="E41" t="s">
        <v>77</v>
      </c>
    </row>
    <row r="42" spans="2:5" x14ac:dyDescent="0.45">
      <c r="B42">
        <v>10</v>
      </c>
      <c r="C42">
        <v>1</v>
      </c>
      <c r="D42" t="b">
        <v>0</v>
      </c>
      <c r="E42" t="s">
        <v>80</v>
      </c>
    </row>
    <row r="43" spans="2:5" x14ac:dyDescent="0.45">
      <c r="B43">
        <v>10</v>
      </c>
      <c r="C43">
        <v>2</v>
      </c>
      <c r="D43" t="b">
        <v>0</v>
      </c>
      <c r="E43" t="s">
        <v>77</v>
      </c>
    </row>
    <row r="44" spans="2:5" x14ac:dyDescent="0.45">
      <c r="B44">
        <v>10</v>
      </c>
      <c r="C44">
        <v>3</v>
      </c>
      <c r="D44" t="b">
        <v>0</v>
      </c>
      <c r="E44" t="s">
        <v>77</v>
      </c>
    </row>
    <row r="45" spans="2:5" x14ac:dyDescent="0.45">
      <c r="B45">
        <v>10</v>
      </c>
      <c r="C45">
        <v>4</v>
      </c>
      <c r="D45" t="b">
        <v>0</v>
      </c>
      <c r="E45" t="s">
        <v>77</v>
      </c>
    </row>
    <row r="46" spans="2:5" x14ac:dyDescent="0.45">
      <c r="B46">
        <v>10</v>
      </c>
      <c r="C46">
        <v>5</v>
      </c>
      <c r="D46" t="b">
        <v>1</v>
      </c>
      <c r="E46" t="s">
        <v>77</v>
      </c>
    </row>
    <row r="47" spans="2:5" x14ac:dyDescent="0.45">
      <c r="B47">
        <v>11</v>
      </c>
      <c r="C47">
        <v>0</v>
      </c>
      <c r="D47" t="b">
        <v>0</v>
      </c>
      <c r="E47" t="s">
        <v>77</v>
      </c>
    </row>
    <row r="48" spans="2:5" x14ac:dyDescent="0.45">
      <c r="B48">
        <v>11</v>
      </c>
      <c r="C48">
        <v>1</v>
      </c>
      <c r="D48" t="b">
        <v>0</v>
      </c>
      <c r="E48" t="s">
        <v>77</v>
      </c>
    </row>
    <row r="49" spans="2:5" x14ac:dyDescent="0.45">
      <c r="B49">
        <v>11</v>
      </c>
      <c r="C49">
        <v>2</v>
      </c>
      <c r="D49" t="b">
        <v>0</v>
      </c>
      <c r="E49" t="s">
        <v>77</v>
      </c>
    </row>
    <row r="50" spans="2:5" x14ac:dyDescent="0.45">
      <c r="B50">
        <v>11</v>
      </c>
      <c r="C50">
        <v>3</v>
      </c>
      <c r="D50" t="b">
        <v>0</v>
      </c>
      <c r="E50" t="s">
        <v>77</v>
      </c>
    </row>
    <row r="51" spans="2:5" x14ac:dyDescent="0.45">
      <c r="B51">
        <v>11</v>
      </c>
      <c r="C51">
        <v>4</v>
      </c>
      <c r="D51" t="b">
        <v>0</v>
      </c>
      <c r="E51" t="s">
        <v>77</v>
      </c>
    </row>
    <row r="52" spans="2:5" x14ac:dyDescent="0.45">
      <c r="B52">
        <v>12</v>
      </c>
      <c r="C52">
        <v>0</v>
      </c>
      <c r="D52" t="b">
        <v>1</v>
      </c>
      <c r="E52" t="s">
        <v>77</v>
      </c>
    </row>
    <row r="53" spans="2:5" x14ac:dyDescent="0.45">
      <c r="B53">
        <v>13</v>
      </c>
      <c r="C53">
        <v>0</v>
      </c>
      <c r="D53" t="b">
        <v>0</v>
      </c>
      <c r="E53" t="s">
        <v>77</v>
      </c>
    </row>
    <row r="54" spans="2:5" x14ac:dyDescent="0.45">
      <c r="B54">
        <v>13</v>
      </c>
      <c r="C54">
        <v>1</v>
      </c>
      <c r="D54" t="b">
        <v>0</v>
      </c>
      <c r="E54" t="s">
        <v>79</v>
      </c>
    </row>
    <row r="55" spans="2:5" x14ac:dyDescent="0.45">
      <c r="B55">
        <v>13</v>
      </c>
      <c r="C55">
        <v>2</v>
      </c>
      <c r="D55" t="b">
        <v>0</v>
      </c>
      <c r="E55" t="s">
        <v>77</v>
      </c>
    </row>
    <row r="56" spans="2:5" x14ac:dyDescent="0.45">
      <c r="B56">
        <v>14</v>
      </c>
      <c r="C56">
        <v>0</v>
      </c>
      <c r="D56" t="b">
        <v>0</v>
      </c>
      <c r="E56" t="s">
        <v>77</v>
      </c>
    </row>
    <row r="57" spans="2:5" x14ac:dyDescent="0.45">
      <c r="B57">
        <v>14</v>
      </c>
      <c r="C57">
        <v>1</v>
      </c>
      <c r="D57" t="b">
        <v>0</v>
      </c>
      <c r="E57" t="s">
        <v>81</v>
      </c>
    </row>
    <row r="58" spans="2:5" x14ac:dyDescent="0.45">
      <c r="B58">
        <v>14</v>
      </c>
      <c r="C58">
        <v>2</v>
      </c>
      <c r="D58" t="b">
        <v>0</v>
      </c>
      <c r="E58" t="s">
        <v>79</v>
      </c>
    </row>
    <row r="59" spans="2:5" x14ac:dyDescent="0.45">
      <c r="B59">
        <v>14</v>
      </c>
      <c r="C59">
        <v>3</v>
      </c>
      <c r="D59" t="b">
        <v>0</v>
      </c>
      <c r="E59" t="s">
        <v>77</v>
      </c>
    </row>
    <row r="60" spans="2:5" x14ac:dyDescent="0.45">
      <c r="B60">
        <v>14</v>
      </c>
      <c r="C60">
        <v>4</v>
      </c>
      <c r="D60" t="b">
        <v>0</v>
      </c>
      <c r="E60" t="s">
        <v>76</v>
      </c>
    </row>
    <row r="61" spans="2:5" x14ac:dyDescent="0.45">
      <c r="B61">
        <v>14</v>
      </c>
      <c r="C61">
        <v>5</v>
      </c>
      <c r="D61" t="b">
        <v>1</v>
      </c>
      <c r="E61" t="s">
        <v>77</v>
      </c>
    </row>
    <row r="62" spans="2:5" x14ac:dyDescent="0.45">
      <c r="B62">
        <v>15</v>
      </c>
      <c r="C62">
        <v>0</v>
      </c>
      <c r="D62" t="b">
        <v>0</v>
      </c>
      <c r="E62" t="s">
        <v>77</v>
      </c>
    </row>
    <row r="63" spans="2:5" x14ac:dyDescent="0.45">
      <c r="B63">
        <v>15</v>
      </c>
      <c r="C63">
        <v>1</v>
      </c>
      <c r="D63" t="b">
        <v>0</v>
      </c>
      <c r="E63" t="s">
        <v>77</v>
      </c>
    </row>
    <row r="64" spans="2:5" x14ac:dyDescent="0.45">
      <c r="B64">
        <v>15</v>
      </c>
      <c r="C64">
        <v>2</v>
      </c>
      <c r="D64" t="b">
        <v>0</v>
      </c>
      <c r="E64" t="s">
        <v>77</v>
      </c>
    </row>
    <row r="65" spans="2:5" x14ac:dyDescent="0.45">
      <c r="B65">
        <v>15</v>
      </c>
      <c r="C65">
        <v>3</v>
      </c>
      <c r="D65" t="b">
        <v>0</v>
      </c>
      <c r="E65" t="s">
        <v>77</v>
      </c>
    </row>
    <row r="66" spans="2:5" x14ac:dyDescent="0.45">
      <c r="B66">
        <v>15</v>
      </c>
      <c r="C66">
        <v>4</v>
      </c>
      <c r="D66" t="b">
        <v>1</v>
      </c>
      <c r="E66" t="s">
        <v>77</v>
      </c>
    </row>
    <row r="67" spans="2:5" x14ac:dyDescent="0.45">
      <c r="B67">
        <v>16</v>
      </c>
      <c r="C67">
        <v>0</v>
      </c>
      <c r="D67" t="b">
        <v>0</v>
      </c>
      <c r="E67" t="s">
        <v>77</v>
      </c>
    </row>
    <row r="68" spans="2:5" x14ac:dyDescent="0.45">
      <c r="B68">
        <v>16</v>
      </c>
      <c r="C68">
        <v>1</v>
      </c>
      <c r="D68" t="b">
        <v>0</v>
      </c>
      <c r="E68" t="s">
        <v>77</v>
      </c>
    </row>
    <row r="69" spans="2:5" x14ac:dyDescent="0.45">
      <c r="B69">
        <v>16</v>
      </c>
      <c r="C69">
        <v>2</v>
      </c>
      <c r="D69" t="b">
        <v>1</v>
      </c>
      <c r="E69" t="s">
        <v>77</v>
      </c>
    </row>
    <row r="70" spans="2:5" x14ac:dyDescent="0.45">
      <c r="B70">
        <v>17</v>
      </c>
      <c r="C70">
        <v>0</v>
      </c>
      <c r="D70" t="b">
        <v>0</v>
      </c>
      <c r="E70" t="s">
        <v>77</v>
      </c>
    </row>
    <row r="71" spans="2:5" x14ac:dyDescent="0.45">
      <c r="B71">
        <v>17</v>
      </c>
      <c r="C71">
        <v>1</v>
      </c>
      <c r="D71" t="b">
        <v>0</v>
      </c>
      <c r="E71" t="s">
        <v>77</v>
      </c>
    </row>
    <row r="72" spans="2:5" x14ac:dyDescent="0.45">
      <c r="B72">
        <v>17</v>
      </c>
      <c r="C72">
        <v>2</v>
      </c>
      <c r="D72" t="b">
        <v>0</v>
      </c>
      <c r="E72" t="s">
        <v>77</v>
      </c>
    </row>
    <row r="73" spans="2:5" x14ac:dyDescent="0.45">
      <c r="B73">
        <v>17</v>
      </c>
      <c r="C73">
        <v>3</v>
      </c>
      <c r="D73" t="b">
        <v>1</v>
      </c>
      <c r="E73" t="s">
        <v>77</v>
      </c>
    </row>
    <row r="74" spans="2:5" x14ac:dyDescent="0.45">
      <c r="B74">
        <v>18</v>
      </c>
      <c r="D74" t="b">
        <v>1</v>
      </c>
      <c r="E74" t="s">
        <v>77</v>
      </c>
    </row>
    <row r="75" spans="2:5" x14ac:dyDescent="0.45">
      <c r="B75">
        <v>19</v>
      </c>
      <c r="C75">
        <v>0</v>
      </c>
      <c r="D75" t="b">
        <v>0</v>
      </c>
      <c r="E75" t="s">
        <v>77</v>
      </c>
    </row>
    <row r="76" spans="2:5" x14ac:dyDescent="0.45">
      <c r="B76">
        <v>19</v>
      </c>
      <c r="C76">
        <v>1</v>
      </c>
      <c r="D76" t="b">
        <v>0</v>
      </c>
      <c r="E76" t="s">
        <v>77</v>
      </c>
    </row>
    <row r="77" spans="2:5" x14ac:dyDescent="0.45">
      <c r="B77">
        <v>19</v>
      </c>
      <c r="C77">
        <v>2</v>
      </c>
      <c r="D77" t="b">
        <v>1</v>
      </c>
      <c r="E77" t="s">
        <v>77</v>
      </c>
    </row>
    <row r="78" spans="2:5" x14ac:dyDescent="0.45">
      <c r="B78">
        <v>20</v>
      </c>
      <c r="C78">
        <v>0</v>
      </c>
      <c r="D78" t="b">
        <v>0</v>
      </c>
      <c r="E78" t="s">
        <v>77</v>
      </c>
    </row>
    <row r="79" spans="2:5" x14ac:dyDescent="0.45">
      <c r="B79">
        <v>20</v>
      </c>
      <c r="C79">
        <v>1</v>
      </c>
      <c r="D79" t="b">
        <v>0</v>
      </c>
      <c r="E79" t="s">
        <v>77</v>
      </c>
    </row>
    <row r="80" spans="2:5" x14ac:dyDescent="0.45">
      <c r="B80">
        <v>20</v>
      </c>
      <c r="C80">
        <v>2</v>
      </c>
      <c r="D80" t="b">
        <v>0</v>
      </c>
      <c r="E80" t="s">
        <v>76</v>
      </c>
    </row>
    <row r="81" spans="2:5" x14ac:dyDescent="0.45">
      <c r="B81">
        <v>20</v>
      </c>
      <c r="C81">
        <v>3</v>
      </c>
      <c r="D81" t="b">
        <v>1</v>
      </c>
      <c r="E81" t="s">
        <v>77</v>
      </c>
    </row>
    <row r="82" spans="2:5" x14ac:dyDescent="0.45">
      <c r="B82">
        <v>21</v>
      </c>
      <c r="C82">
        <v>0</v>
      </c>
      <c r="D82" t="b">
        <v>0</v>
      </c>
      <c r="E82" t="s">
        <v>77</v>
      </c>
    </row>
    <row r="83" spans="2:5" x14ac:dyDescent="0.45">
      <c r="B83">
        <v>21</v>
      </c>
      <c r="C83">
        <v>1</v>
      </c>
      <c r="D83" t="b">
        <v>0</v>
      </c>
      <c r="E83" t="s">
        <v>76</v>
      </c>
    </row>
    <row r="84" spans="2:5" x14ac:dyDescent="0.45">
      <c r="B84">
        <v>21</v>
      </c>
      <c r="C84">
        <v>2</v>
      </c>
      <c r="D84" t="b">
        <v>0</v>
      </c>
      <c r="E84" t="s">
        <v>79</v>
      </c>
    </row>
    <row r="85" spans="2:5" x14ac:dyDescent="0.45">
      <c r="B85">
        <v>21</v>
      </c>
      <c r="C85">
        <v>3</v>
      </c>
      <c r="D85" t="b">
        <v>0</v>
      </c>
      <c r="E85" t="s">
        <v>77</v>
      </c>
    </row>
    <row r="86" spans="2:5" x14ac:dyDescent="0.45">
      <c r="B86">
        <v>21</v>
      </c>
      <c r="C86">
        <v>4</v>
      </c>
      <c r="D86" t="b">
        <v>1</v>
      </c>
      <c r="E86" t="s">
        <v>77</v>
      </c>
    </row>
    <row r="87" spans="2:5" x14ac:dyDescent="0.45">
      <c r="B87">
        <v>22</v>
      </c>
      <c r="C87">
        <v>0</v>
      </c>
      <c r="D87" t="b">
        <v>0</v>
      </c>
      <c r="E87" t="s">
        <v>77</v>
      </c>
    </row>
    <row r="88" spans="2:5" x14ac:dyDescent="0.45">
      <c r="B88">
        <v>22</v>
      </c>
      <c r="C88">
        <v>1</v>
      </c>
      <c r="D88" t="b">
        <v>0</v>
      </c>
      <c r="E88" t="s">
        <v>79</v>
      </c>
    </row>
    <row r="89" spans="2:5" x14ac:dyDescent="0.45">
      <c r="B89">
        <v>22</v>
      </c>
      <c r="C89">
        <v>2</v>
      </c>
      <c r="D89" t="b">
        <v>0</v>
      </c>
      <c r="E89" t="s">
        <v>77</v>
      </c>
    </row>
    <row r="90" spans="2:5" x14ac:dyDescent="0.45">
      <c r="B90">
        <v>22</v>
      </c>
      <c r="C90">
        <v>3</v>
      </c>
      <c r="D90" t="b">
        <v>0</v>
      </c>
      <c r="E90" t="s">
        <v>78</v>
      </c>
    </row>
    <row r="91" spans="2:5" x14ac:dyDescent="0.45">
      <c r="B91">
        <v>22</v>
      </c>
      <c r="C91">
        <v>4</v>
      </c>
      <c r="D91" t="b">
        <v>0</v>
      </c>
      <c r="E91" t="s">
        <v>79</v>
      </c>
    </row>
    <row r="92" spans="2:5" x14ac:dyDescent="0.45">
      <c r="B92">
        <v>22</v>
      </c>
      <c r="C92">
        <v>5</v>
      </c>
      <c r="D92" t="b">
        <v>0</v>
      </c>
      <c r="E92" t="s">
        <v>77</v>
      </c>
    </row>
    <row r="93" spans="2:5" x14ac:dyDescent="0.45">
      <c r="B93">
        <v>22</v>
      </c>
      <c r="C93">
        <v>6</v>
      </c>
      <c r="D93" t="b">
        <v>0</v>
      </c>
      <c r="E93" t="s">
        <v>78</v>
      </c>
    </row>
    <row r="94" spans="2:5" x14ac:dyDescent="0.45">
      <c r="B94">
        <v>23</v>
      </c>
      <c r="C94">
        <v>0</v>
      </c>
      <c r="D94" t="b">
        <v>0</v>
      </c>
      <c r="E94" t="s">
        <v>77</v>
      </c>
    </row>
    <row r="95" spans="2:5" x14ac:dyDescent="0.45">
      <c r="B95">
        <v>23</v>
      </c>
      <c r="C95">
        <v>1</v>
      </c>
      <c r="D95" t="b">
        <v>0</v>
      </c>
      <c r="E95" t="s">
        <v>77</v>
      </c>
    </row>
    <row r="96" spans="2:5" x14ac:dyDescent="0.45">
      <c r="B96">
        <v>23</v>
      </c>
      <c r="C96">
        <v>2</v>
      </c>
      <c r="D96" t="b">
        <v>0</v>
      </c>
      <c r="E96" t="s">
        <v>76</v>
      </c>
    </row>
    <row r="97" spans="2:5" x14ac:dyDescent="0.45">
      <c r="B97">
        <v>23</v>
      </c>
      <c r="C97">
        <v>3</v>
      </c>
      <c r="D97" t="b">
        <v>0</v>
      </c>
      <c r="E97" t="s">
        <v>77</v>
      </c>
    </row>
    <row r="98" spans="2:5" x14ac:dyDescent="0.45">
      <c r="B98">
        <v>23</v>
      </c>
      <c r="C98">
        <v>4</v>
      </c>
      <c r="D98" t="b">
        <v>0</v>
      </c>
      <c r="E98" t="s">
        <v>77</v>
      </c>
    </row>
    <row r="99" spans="2:5" x14ac:dyDescent="0.45">
      <c r="B99">
        <v>23</v>
      </c>
      <c r="C99">
        <v>5</v>
      </c>
      <c r="D99" t="b">
        <v>0</v>
      </c>
      <c r="E99" t="s">
        <v>79</v>
      </c>
    </row>
    <row r="100" spans="2:5" x14ac:dyDescent="0.45">
      <c r="B100">
        <v>24</v>
      </c>
      <c r="C100">
        <v>0</v>
      </c>
      <c r="D100" t="b">
        <v>0</v>
      </c>
      <c r="E100" t="s">
        <v>77</v>
      </c>
    </row>
    <row r="101" spans="2:5" x14ac:dyDescent="0.45">
      <c r="B101">
        <v>24</v>
      </c>
      <c r="C101">
        <v>1</v>
      </c>
      <c r="D101" t="b">
        <v>0</v>
      </c>
      <c r="E101" t="s">
        <v>79</v>
      </c>
    </row>
    <row r="102" spans="2:5" x14ac:dyDescent="0.45">
      <c r="B102">
        <v>24</v>
      </c>
      <c r="C102">
        <v>2</v>
      </c>
      <c r="D102" t="b">
        <v>0</v>
      </c>
      <c r="E102" t="s">
        <v>77</v>
      </c>
    </row>
    <row r="103" spans="2:5" x14ac:dyDescent="0.45">
      <c r="B103">
        <v>25</v>
      </c>
      <c r="C103">
        <v>0</v>
      </c>
      <c r="D103" t="b">
        <v>0</v>
      </c>
      <c r="E103" t="s">
        <v>77</v>
      </c>
    </row>
    <row r="104" spans="2:5" x14ac:dyDescent="0.45">
      <c r="B104">
        <v>25</v>
      </c>
      <c r="C104">
        <v>1</v>
      </c>
      <c r="D104" t="b">
        <v>0</v>
      </c>
      <c r="E104" t="s">
        <v>77</v>
      </c>
    </row>
    <row r="105" spans="2:5" x14ac:dyDescent="0.45">
      <c r="B105">
        <v>25</v>
      </c>
      <c r="C105">
        <v>2</v>
      </c>
      <c r="D105" t="b">
        <v>0</v>
      </c>
      <c r="E105" t="s">
        <v>77</v>
      </c>
    </row>
    <row r="106" spans="2:5" x14ac:dyDescent="0.45">
      <c r="B106">
        <v>25</v>
      </c>
      <c r="C106">
        <v>3</v>
      </c>
      <c r="D106" t="b">
        <v>0</v>
      </c>
      <c r="E106" t="s">
        <v>77</v>
      </c>
    </row>
    <row r="107" spans="2:5" x14ac:dyDescent="0.45">
      <c r="B107">
        <v>25</v>
      </c>
      <c r="C107">
        <v>4</v>
      </c>
      <c r="D107" t="b">
        <v>0</v>
      </c>
      <c r="E107" t="s">
        <v>77</v>
      </c>
    </row>
    <row r="108" spans="2:5" x14ac:dyDescent="0.45">
      <c r="B108">
        <v>25</v>
      </c>
      <c r="C108">
        <v>5</v>
      </c>
      <c r="D108" t="b">
        <v>1</v>
      </c>
      <c r="E108" t="s">
        <v>77</v>
      </c>
    </row>
    <row r="109" spans="2:5" x14ac:dyDescent="0.45">
      <c r="B109">
        <v>26</v>
      </c>
      <c r="C109">
        <v>0</v>
      </c>
      <c r="D109" t="b">
        <v>0</v>
      </c>
      <c r="E109" t="s">
        <v>79</v>
      </c>
    </row>
    <row r="110" spans="2:5" x14ac:dyDescent="0.45">
      <c r="B110">
        <v>26</v>
      </c>
      <c r="C110">
        <v>1</v>
      </c>
      <c r="D110" t="b">
        <v>0</v>
      </c>
      <c r="E110" t="s">
        <v>77</v>
      </c>
    </row>
    <row r="111" spans="2:5" x14ac:dyDescent="0.45">
      <c r="B111">
        <v>26</v>
      </c>
      <c r="C111">
        <v>2</v>
      </c>
      <c r="D111" t="b">
        <v>0</v>
      </c>
      <c r="E111" t="s">
        <v>79</v>
      </c>
    </row>
    <row r="112" spans="2:5" x14ac:dyDescent="0.45">
      <c r="B112">
        <v>26</v>
      </c>
      <c r="C112">
        <v>3</v>
      </c>
      <c r="D112" t="b">
        <v>1</v>
      </c>
      <c r="E112" t="s">
        <v>77</v>
      </c>
    </row>
    <row r="113" spans="2:5" x14ac:dyDescent="0.45">
      <c r="B113">
        <v>27</v>
      </c>
      <c r="C113">
        <v>0</v>
      </c>
      <c r="D113" t="b">
        <v>0</v>
      </c>
      <c r="E113" t="s">
        <v>77</v>
      </c>
    </row>
    <row r="114" spans="2:5" x14ac:dyDescent="0.45">
      <c r="B114">
        <v>27</v>
      </c>
      <c r="C114">
        <v>1</v>
      </c>
      <c r="D114" t="b">
        <v>0</v>
      </c>
      <c r="E114" t="s">
        <v>77</v>
      </c>
    </row>
    <row r="115" spans="2:5" x14ac:dyDescent="0.45">
      <c r="B115">
        <v>28</v>
      </c>
      <c r="C115">
        <v>0</v>
      </c>
      <c r="D115" t="b">
        <v>0</v>
      </c>
      <c r="E115" t="s">
        <v>79</v>
      </c>
    </row>
    <row r="116" spans="2:5" x14ac:dyDescent="0.45">
      <c r="B116">
        <v>28</v>
      </c>
      <c r="C116">
        <v>1</v>
      </c>
      <c r="D116" t="b">
        <v>0</v>
      </c>
      <c r="E116" t="s">
        <v>77</v>
      </c>
    </row>
    <row r="117" spans="2:5" x14ac:dyDescent="0.45">
      <c r="B117">
        <v>28</v>
      </c>
      <c r="C117">
        <v>2</v>
      </c>
      <c r="D117" t="b">
        <v>0</v>
      </c>
      <c r="E117" t="s">
        <v>77</v>
      </c>
    </row>
    <row r="118" spans="2:5" x14ac:dyDescent="0.45">
      <c r="B118">
        <v>28</v>
      </c>
      <c r="C118">
        <v>3</v>
      </c>
      <c r="D118" t="b">
        <v>1</v>
      </c>
      <c r="E118" t="s">
        <v>77</v>
      </c>
    </row>
    <row r="119" spans="2:5" x14ac:dyDescent="0.45">
      <c r="B119">
        <v>29</v>
      </c>
      <c r="C119">
        <v>0</v>
      </c>
      <c r="D119" t="b">
        <v>0</v>
      </c>
      <c r="E119" t="s">
        <v>77</v>
      </c>
    </row>
    <row r="120" spans="2:5" x14ac:dyDescent="0.45">
      <c r="B120">
        <v>29</v>
      </c>
      <c r="C120">
        <v>1</v>
      </c>
      <c r="D120" t="b">
        <v>1</v>
      </c>
      <c r="E120" t="s">
        <v>77</v>
      </c>
    </row>
    <row r="121" spans="2:5" x14ac:dyDescent="0.45">
      <c r="B121">
        <v>30</v>
      </c>
      <c r="C121">
        <v>0</v>
      </c>
      <c r="D121" t="b">
        <v>0</v>
      </c>
      <c r="E121" t="s">
        <v>77</v>
      </c>
    </row>
    <row r="122" spans="2:5" x14ac:dyDescent="0.45">
      <c r="B122">
        <v>30</v>
      </c>
      <c r="C122">
        <v>1</v>
      </c>
      <c r="D122" t="b">
        <v>0</v>
      </c>
      <c r="E122" t="s">
        <v>77</v>
      </c>
    </row>
    <row r="123" spans="2:5" x14ac:dyDescent="0.45">
      <c r="B123">
        <v>30</v>
      </c>
      <c r="C123">
        <v>2</v>
      </c>
      <c r="D123" t="b">
        <v>0</v>
      </c>
      <c r="E123" t="s">
        <v>77</v>
      </c>
    </row>
    <row r="124" spans="2:5" x14ac:dyDescent="0.45">
      <c r="B124">
        <v>31</v>
      </c>
      <c r="C124">
        <v>0</v>
      </c>
      <c r="D124" t="b">
        <v>0</v>
      </c>
      <c r="E124" t="s">
        <v>77</v>
      </c>
    </row>
    <row r="125" spans="2:5" x14ac:dyDescent="0.45">
      <c r="B125">
        <v>31</v>
      </c>
      <c r="C125">
        <v>1</v>
      </c>
      <c r="D125" t="b">
        <v>0</v>
      </c>
      <c r="E125" t="s">
        <v>77</v>
      </c>
    </row>
    <row r="126" spans="2:5" x14ac:dyDescent="0.45">
      <c r="B126">
        <v>31</v>
      </c>
      <c r="C126">
        <v>2</v>
      </c>
      <c r="D126" t="b">
        <v>0</v>
      </c>
      <c r="E126" t="s">
        <v>77</v>
      </c>
    </row>
    <row r="127" spans="2:5" x14ac:dyDescent="0.45">
      <c r="B127">
        <v>31</v>
      </c>
      <c r="C127">
        <v>3</v>
      </c>
      <c r="D127" t="b">
        <v>1</v>
      </c>
      <c r="E127" t="s">
        <v>77</v>
      </c>
    </row>
    <row r="128" spans="2:5" x14ac:dyDescent="0.45">
      <c r="B128">
        <v>32</v>
      </c>
      <c r="C128">
        <v>0</v>
      </c>
      <c r="D128" t="b">
        <v>0</v>
      </c>
      <c r="E128" t="s">
        <v>77</v>
      </c>
    </row>
    <row r="129" spans="2:5" x14ac:dyDescent="0.45">
      <c r="B129">
        <v>33</v>
      </c>
      <c r="D129" t="b">
        <v>1</v>
      </c>
      <c r="E129" t="s">
        <v>77</v>
      </c>
    </row>
    <row r="130" spans="2:5" x14ac:dyDescent="0.45">
      <c r="B130">
        <v>34</v>
      </c>
      <c r="D130" t="b">
        <v>0</v>
      </c>
      <c r="E130" t="s">
        <v>77</v>
      </c>
    </row>
    <row r="131" spans="2:5" x14ac:dyDescent="0.45">
      <c r="B131">
        <v>35</v>
      </c>
      <c r="D131" t="b">
        <v>0</v>
      </c>
      <c r="E131" t="s">
        <v>77</v>
      </c>
    </row>
    <row r="132" spans="2:5" x14ac:dyDescent="0.45">
      <c r="B132">
        <v>36</v>
      </c>
      <c r="C132">
        <v>0</v>
      </c>
      <c r="D132" t="b">
        <v>0</v>
      </c>
      <c r="E132" t="s">
        <v>77</v>
      </c>
    </row>
    <row r="133" spans="2:5" x14ac:dyDescent="0.45">
      <c r="B133">
        <v>36</v>
      </c>
      <c r="C133">
        <v>1</v>
      </c>
      <c r="D133" t="b">
        <v>0</v>
      </c>
      <c r="E133" t="s">
        <v>77</v>
      </c>
    </row>
    <row r="134" spans="2:5" x14ac:dyDescent="0.45">
      <c r="B134">
        <v>37</v>
      </c>
      <c r="C134">
        <v>0</v>
      </c>
      <c r="D134" t="b">
        <v>0</v>
      </c>
      <c r="E134" t="s">
        <v>77</v>
      </c>
    </row>
    <row r="135" spans="2:5" x14ac:dyDescent="0.45">
      <c r="B135">
        <v>37</v>
      </c>
      <c r="C135">
        <v>1</v>
      </c>
      <c r="D135" t="b">
        <v>0</v>
      </c>
      <c r="E135" t="s">
        <v>77</v>
      </c>
    </row>
    <row r="136" spans="2:5" x14ac:dyDescent="0.45">
      <c r="B136">
        <v>37</v>
      </c>
      <c r="C136">
        <v>2</v>
      </c>
      <c r="D136" t="b">
        <v>0</v>
      </c>
      <c r="E136" t="s">
        <v>77</v>
      </c>
    </row>
    <row r="137" spans="2:5" x14ac:dyDescent="0.45">
      <c r="B137">
        <v>37</v>
      </c>
      <c r="C137">
        <v>3</v>
      </c>
      <c r="D137" t="b">
        <v>1</v>
      </c>
      <c r="E137" t="s">
        <v>77</v>
      </c>
    </row>
    <row r="138" spans="2:5" x14ac:dyDescent="0.45">
      <c r="B138">
        <v>38</v>
      </c>
      <c r="C138">
        <v>0</v>
      </c>
      <c r="D138" t="b">
        <v>0</v>
      </c>
      <c r="E138" t="s">
        <v>77</v>
      </c>
    </row>
    <row r="139" spans="2:5" x14ac:dyDescent="0.45">
      <c r="B139">
        <v>38</v>
      </c>
      <c r="C139">
        <v>1</v>
      </c>
      <c r="D139" t="b">
        <v>1</v>
      </c>
      <c r="E139" t="s">
        <v>77</v>
      </c>
    </row>
    <row r="140" spans="2:5" x14ac:dyDescent="0.45">
      <c r="B140">
        <v>39</v>
      </c>
      <c r="C140">
        <v>0</v>
      </c>
      <c r="D140" t="b">
        <v>0</v>
      </c>
      <c r="E140" t="s">
        <v>79</v>
      </c>
    </row>
    <row r="141" spans="2:5" x14ac:dyDescent="0.45">
      <c r="B141">
        <v>39</v>
      </c>
      <c r="C141">
        <v>1</v>
      </c>
      <c r="D141" t="b">
        <v>1</v>
      </c>
      <c r="E141" t="s">
        <v>77</v>
      </c>
    </row>
    <row r="142" spans="2:5" x14ac:dyDescent="0.45">
      <c r="B142">
        <v>40</v>
      </c>
      <c r="C142">
        <v>0</v>
      </c>
      <c r="D142" t="b">
        <v>0</v>
      </c>
      <c r="E142" t="s">
        <v>77</v>
      </c>
    </row>
    <row r="143" spans="2:5" x14ac:dyDescent="0.45">
      <c r="B143">
        <v>40</v>
      </c>
      <c r="C143">
        <v>1</v>
      </c>
      <c r="D143" t="b">
        <v>0</v>
      </c>
      <c r="E143" t="s">
        <v>77</v>
      </c>
    </row>
    <row r="144" spans="2:5" x14ac:dyDescent="0.45">
      <c r="B144">
        <v>40</v>
      </c>
      <c r="C144">
        <v>2</v>
      </c>
      <c r="D144" t="b">
        <v>0</v>
      </c>
      <c r="E144" t="s">
        <v>77</v>
      </c>
    </row>
    <row r="145" spans="2:5" x14ac:dyDescent="0.45">
      <c r="B145">
        <v>40</v>
      </c>
      <c r="C145">
        <v>3</v>
      </c>
      <c r="D145" t="b">
        <v>0</v>
      </c>
      <c r="E145" t="s">
        <v>77</v>
      </c>
    </row>
    <row r="146" spans="2:5" x14ac:dyDescent="0.45">
      <c r="B146">
        <v>40</v>
      </c>
      <c r="C146">
        <v>4</v>
      </c>
      <c r="D146" t="b">
        <v>0</v>
      </c>
      <c r="E146" t="s">
        <v>77</v>
      </c>
    </row>
    <row r="147" spans="2:5" x14ac:dyDescent="0.45">
      <c r="B147">
        <v>40</v>
      </c>
      <c r="C147">
        <v>5</v>
      </c>
      <c r="D147" t="b">
        <v>0</v>
      </c>
      <c r="E147" t="s">
        <v>77</v>
      </c>
    </row>
    <row r="148" spans="2:5" x14ac:dyDescent="0.45">
      <c r="B148">
        <v>40</v>
      </c>
      <c r="C148">
        <v>6</v>
      </c>
      <c r="D148" t="b">
        <v>0</v>
      </c>
      <c r="E148" t="s">
        <v>77</v>
      </c>
    </row>
    <row r="149" spans="2:5" x14ac:dyDescent="0.45">
      <c r="B149">
        <v>41</v>
      </c>
      <c r="D149" t="b">
        <v>1</v>
      </c>
      <c r="E149" t="s">
        <v>77</v>
      </c>
    </row>
    <row r="150" spans="2:5" x14ac:dyDescent="0.45">
      <c r="B150">
        <v>42</v>
      </c>
      <c r="C150">
        <v>0</v>
      </c>
      <c r="D150" t="b">
        <v>0</v>
      </c>
      <c r="E150" t="s">
        <v>77</v>
      </c>
    </row>
    <row r="151" spans="2:5" x14ac:dyDescent="0.45">
      <c r="B151">
        <v>42</v>
      </c>
      <c r="C151">
        <v>1</v>
      </c>
      <c r="D151" t="b">
        <v>0</v>
      </c>
      <c r="E151" t="s">
        <v>77</v>
      </c>
    </row>
    <row r="152" spans="2:5" x14ac:dyDescent="0.45">
      <c r="B152">
        <v>43</v>
      </c>
      <c r="C152">
        <v>0</v>
      </c>
      <c r="D152" t="b">
        <v>0</v>
      </c>
      <c r="E152" t="s">
        <v>77</v>
      </c>
    </row>
    <row r="153" spans="2:5" x14ac:dyDescent="0.45">
      <c r="B153">
        <v>43</v>
      </c>
      <c r="C153">
        <v>1</v>
      </c>
      <c r="D153" t="b">
        <v>0</v>
      </c>
      <c r="E153" t="s">
        <v>78</v>
      </c>
    </row>
    <row r="154" spans="2:5" x14ac:dyDescent="0.45">
      <c r="B154">
        <v>43</v>
      </c>
      <c r="C154">
        <v>2</v>
      </c>
      <c r="D154" t="b">
        <v>0</v>
      </c>
      <c r="E154" t="s">
        <v>77</v>
      </c>
    </row>
    <row r="155" spans="2:5" x14ac:dyDescent="0.45">
      <c r="B155">
        <v>43</v>
      </c>
      <c r="C155">
        <v>3</v>
      </c>
      <c r="D155" t="b">
        <v>0</v>
      </c>
      <c r="E155" t="s">
        <v>77</v>
      </c>
    </row>
    <row r="156" spans="2:5" x14ac:dyDescent="0.45">
      <c r="B156">
        <v>43</v>
      </c>
      <c r="C156">
        <v>4</v>
      </c>
      <c r="D156" t="b">
        <v>0</v>
      </c>
      <c r="E156" t="s">
        <v>77</v>
      </c>
    </row>
    <row r="157" spans="2:5" x14ac:dyDescent="0.45">
      <c r="B157">
        <v>43</v>
      </c>
      <c r="C157">
        <v>5</v>
      </c>
      <c r="D157" t="b">
        <v>0</v>
      </c>
      <c r="E157" t="s">
        <v>77</v>
      </c>
    </row>
    <row r="158" spans="2:5" x14ac:dyDescent="0.45">
      <c r="B158">
        <v>43</v>
      </c>
      <c r="C158">
        <v>6</v>
      </c>
      <c r="D158" t="b">
        <v>0</v>
      </c>
      <c r="E158" t="s">
        <v>77</v>
      </c>
    </row>
    <row r="159" spans="2:5" x14ac:dyDescent="0.45">
      <c r="B159">
        <v>44</v>
      </c>
      <c r="C159">
        <v>0</v>
      </c>
      <c r="D159" t="b">
        <v>0</v>
      </c>
      <c r="E159" t="s">
        <v>78</v>
      </c>
    </row>
    <row r="160" spans="2:5" x14ac:dyDescent="0.45">
      <c r="B160">
        <v>44</v>
      </c>
      <c r="C160">
        <v>1</v>
      </c>
      <c r="D160" t="b">
        <v>0</v>
      </c>
      <c r="E160" t="s">
        <v>77</v>
      </c>
    </row>
    <row r="161" spans="2:5" x14ac:dyDescent="0.45">
      <c r="B161">
        <v>44</v>
      </c>
      <c r="C161">
        <v>2</v>
      </c>
      <c r="D161" t="b">
        <v>0</v>
      </c>
      <c r="E161" t="s">
        <v>77</v>
      </c>
    </row>
    <row r="162" spans="2:5" x14ac:dyDescent="0.45">
      <c r="B162">
        <v>44</v>
      </c>
      <c r="C162">
        <v>3</v>
      </c>
      <c r="D162" t="b">
        <v>0</v>
      </c>
      <c r="E162" t="s">
        <v>77</v>
      </c>
    </row>
    <row r="163" spans="2:5" x14ac:dyDescent="0.45">
      <c r="B163">
        <v>45</v>
      </c>
      <c r="C163">
        <v>0</v>
      </c>
      <c r="D163" t="b">
        <v>0</v>
      </c>
      <c r="E163" t="s">
        <v>77</v>
      </c>
    </row>
    <row r="164" spans="2:5" x14ac:dyDescent="0.45">
      <c r="B164">
        <v>45</v>
      </c>
      <c r="C164">
        <v>1</v>
      </c>
      <c r="D164" t="b">
        <v>0</v>
      </c>
      <c r="E164" t="s">
        <v>77</v>
      </c>
    </row>
    <row r="165" spans="2:5" x14ac:dyDescent="0.45">
      <c r="B165">
        <v>45</v>
      </c>
      <c r="C165">
        <v>2</v>
      </c>
      <c r="D165" t="b">
        <v>0</v>
      </c>
      <c r="E165" t="s">
        <v>77</v>
      </c>
    </row>
    <row r="166" spans="2:5" x14ac:dyDescent="0.45">
      <c r="B166">
        <v>45</v>
      </c>
      <c r="C166">
        <v>3</v>
      </c>
      <c r="D166" t="b">
        <v>1</v>
      </c>
      <c r="E166" t="s">
        <v>77</v>
      </c>
    </row>
    <row r="167" spans="2:5" x14ac:dyDescent="0.45">
      <c r="B167">
        <v>46</v>
      </c>
      <c r="C167">
        <v>0</v>
      </c>
      <c r="D167" t="b">
        <v>0</v>
      </c>
      <c r="E167" t="s">
        <v>77</v>
      </c>
    </row>
    <row r="168" spans="2:5" x14ac:dyDescent="0.45">
      <c r="B168">
        <v>46</v>
      </c>
      <c r="C168">
        <v>1</v>
      </c>
      <c r="D168" t="b">
        <v>0</v>
      </c>
      <c r="E168" t="s">
        <v>79</v>
      </c>
    </row>
    <row r="169" spans="2:5" x14ac:dyDescent="0.45">
      <c r="B169">
        <v>46</v>
      </c>
      <c r="C169">
        <v>2</v>
      </c>
      <c r="D169" t="b">
        <v>0</v>
      </c>
      <c r="E169" t="s">
        <v>77</v>
      </c>
    </row>
    <row r="170" spans="2:5" x14ac:dyDescent="0.45">
      <c r="B170">
        <v>46</v>
      </c>
      <c r="C170">
        <v>3</v>
      </c>
      <c r="D170" t="b">
        <v>1</v>
      </c>
      <c r="E170" t="s">
        <v>77</v>
      </c>
    </row>
    <row r="171" spans="2:5" x14ac:dyDescent="0.45">
      <c r="B171">
        <v>47</v>
      </c>
      <c r="D171" t="b">
        <v>0</v>
      </c>
      <c r="E171" t="s">
        <v>77</v>
      </c>
    </row>
    <row r="172" spans="2:5" x14ac:dyDescent="0.45">
      <c r="B172">
        <v>48</v>
      </c>
      <c r="C172">
        <v>0</v>
      </c>
      <c r="D172" t="b">
        <v>0</v>
      </c>
      <c r="E172" t="s">
        <v>77</v>
      </c>
    </row>
    <row r="173" spans="2:5" x14ac:dyDescent="0.45">
      <c r="B173">
        <v>48</v>
      </c>
      <c r="C173">
        <v>1</v>
      </c>
      <c r="D173" t="b">
        <v>0</v>
      </c>
      <c r="E173" t="s">
        <v>77</v>
      </c>
    </row>
    <row r="174" spans="2:5" x14ac:dyDescent="0.45">
      <c r="B174">
        <v>48</v>
      </c>
      <c r="C174">
        <v>2</v>
      </c>
      <c r="D174" t="b">
        <v>0</v>
      </c>
      <c r="E174" t="s">
        <v>77</v>
      </c>
    </row>
    <row r="175" spans="2:5" x14ac:dyDescent="0.45">
      <c r="B175">
        <v>48</v>
      </c>
      <c r="C175">
        <v>3</v>
      </c>
      <c r="D175" t="b">
        <v>0</v>
      </c>
      <c r="E175" t="s">
        <v>77</v>
      </c>
    </row>
    <row r="176" spans="2:5" x14ac:dyDescent="0.45">
      <c r="B176">
        <v>48</v>
      </c>
      <c r="C176">
        <v>4</v>
      </c>
      <c r="D176" t="b">
        <v>0</v>
      </c>
      <c r="E176" t="s">
        <v>77</v>
      </c>
    </row>
    <row r="177" spans="2:5" x14ac:dyDescent="0.45">
      <c r="B177">
        <v>48</v>
      </c>
      <c r="C177">
        <v>5</v>
      </c>
      <c r="D177" t="b">
        <v>1</v>
      </c>
      <c r="E177" t="s">
        <v>77</v>
      </c>
    </row>
    <row r="178" spans="2:5" x14ac:dyDescent="0.45">
      <c r="B178">
        <v>49</v>
      </c>
      <c r="C178">
        <v>0</v>
      </c>
      <c r="D178" t="b">
        <v>0</v>
      </c>
      <c r="E178" t="s">
        <v>77</v>
      </c>
    </row>
    <row r="179" spans="2:5" x14ac:dyDescent="0.45">
      <c r="B179">
        <v>50</v>
      </c>
      <c r="C179">
        <v>0</v>
      </c>
      <c r="D179" t="b">
        <v>0</v>
      </c>
      <c r="E179" t="s">
        <v>77</v>
      </c>
    </row>
    <row r="180" spans="2:5" x14ac:dyDescent="0.45">
      <c r="B180">
        <v>50</v>
      </c>
      <c r="C180">
        <v>1</v>
      </c>
      <c r="D180" t="b">
        <v>0</v>
      </c>
      <c r="E180" t="s">
        <v>77</v>
      </c>
    </row>
    <row r="181" spans="2:5" x14ac:dyDescent="0.45">
      <c r="B181">
        <v>50</v>
      </c>
      <c r="C181">
        <v>2</v>
      </c>
      <c r="D181" t="b">
        <v>0</v>
      </c>
      <c r="E181" t="s">
        <v>77</v>
      </c>
    </row>
    <row r="182" spans="2:5" x14ac:dyDescent="0.45">
      <c r="B182">
        <v>50</v>
      </c>
      <c r="C182">
        <v>3</v>
      </c>
      <c r="D182" t="b">
        <v>0</v>
      </c>
      <c r="E182" t="s">
        <v>79</v>
      </c>
    </row>
    <row r="183" spans="2:5" x14ac:dyDescent="0.45">
      <c r="B183">
        <v>50</v>
      </c>
      <c r="C183">
        <v>4</v>
      </c>
      <c r="D183" t="b">
        <v>1</v>
      </c>
      <c r="E183" t="s">
        <v>77</v>
      </c>
    </row>
    <row r="184" spans="2:5" x14ac:dyDescent="0.45">
      <c r="B184">
        <v>51</v>
      </c>
      <c r="C184">
        <v>0</v>
      </c>
      <c r="D184" t="b">
        <v>0</v>
      </c>
      <c r="E184" t="s">
        <v>77</v>
      </c>
    </row>
    <row r="185" spans="2:5" x14ac:dyDescent="0.45">
      <c r="B185">
        <v>51</v>
      </c>
      <c r="C185">
        <v>1</v>
      </c>
      <c r="D185" t="b">
        <v>0</v>
      </c>
      <c r="E185" t="s">
        <v>77</v>
      </c>
    </row>
    <row r="186" spans="2:5" x14ac:dyDescent="0.45">
      <c r="B186">
        <v>51</v>
      </c>
      <c r="C186">
        <v>2</v>
      </c>
      <c r="D186" t="b">
        <v>0</v>
      </c>
      <c r="E186" t="s">
        <v>77</v>
      </c>
    </row>
    <row r="187" spans="2:5" x14ac:dyDescent="0.45">
      <c r="B187">
        <v>51</v>
      </c>
      <c r="C187">
        <v>3</v>
      </c>
      <c r="D187" t="b">
        <v>0</v>
      </c>
      <c r="E187" t="s">
        <v>79</v>
      </c>
    </row>
    <row r="188" spans="2:5" x14ac:dyDescent="0.45">
      <c r="B188">
        <v>51</v>
      </c>
      <c r="C188">
        <v>4</v>
      </c>
      <c r="D188" t="b">
        <v>0</v>
      </c>
      <c r="E188" t="s">
        <v>77</v>
      </c>
    </row>
    <row r="189" spans="2:5" x14ac:dyDescent="0.45">
      <c r="B189">
        <v>51</v>
      </c>
      <c r="C189">
        <v>5</v>
      </c>
      <c r="D189" t="b">
        <v>0</v>
      </c>
      <c r="E189" t="s">
        <v>79</v>
      </c>
    </row>
    <row r="190" spans="2:5" x14ac:dyDescent="0.45">
      <c r="B190">
        <v>51</v>
      </c>
      <c r="C190">
        <v>6</v>
      </c>
      <c r="D190" t="b">
        <v>0</v>
      </c>
      <c r="E190" t="s">
        <v>77</v>
      </c>
    </row>
    <row r="191" spans="2:5" x14ac:dyDescent="0.45">
      <c r="B191">
        <v>52</v>
      </c>
      <c r="C191">
        <v>0</v>
      </c>
      <c r="D191" t="b">
        <v>0</v>
      </c>
      <c r="E191" t="s">
        <v>77</v>
      </c>
    </row>
    <row r="192" spans="2:5" x14ac:dyDescent="0.45">
      <c r="B192">
        <v>52</v>
      </c>
      <c r="C192">
        <v>1</v>
      </c>
      <c r="D192" t="b">
        <v>1</v>
      </c>
      <c r="E192" t="s">
        <v>77</v>
      </c>
    </row>
    <row r="193" spans="2:5" x14ac:dyDescent="0.45">
      <c r="B193">
        <v>53</v>
      </c>
      <c r="C193">
        <v>0</v>
      </c>
      <c r="D193" t="b">
        <v>0</v>
      </c>
      <c r="E193" t="s">
        <v>77</v>
      </c>
    </row>
    <row r="194" spans="2:5" x14ac:dyDescent="0.45">
      <c r="B194">
        <v>53</v>
      </c>
      <c r="C194">
        <v>1</v>
      </c>
      <c r="D194" t="b">
        <v>0</v>
      </c>
      <c r="E194" t="s">
        <v>77</v>
      </c>
    </row>
    <row r="195" spans="2:5" x14ac:dyDescent="0.45">
      <c r="B195">
        <v>53</v>
      </c>
      <c r="C195">
        <v>2</v>
      </c>
      <c r="D195" t="b">
        <v>0</v>
      </c>
      <c r="E195" t="s">
        <v>78</v>
      </c>
    </row>
    <row r="196" spans="2:5" x14ac:dyDescent="0.45">
      <c r="B196">
        <v>53</v>
      </c>
      <c r="C196">
        <v>3</v>
      </c>
      <c r="D196" t="b">
        <v>0</v>
      </c>
      <c r="E196" t="s">
        <v>77</v>
      </c>
    </row>
    <row r="197" spans="2:5" x14ac:dyDescent="0.45">
      <c r="B197">
        <v>53</v>
      </c>
      <c r="C197">
        <v>4</v>
      </c>
      <c r="D197" t="b">
        <v>0</v>
      </c>
      <c r="E197" t="s">
        <v>77</v>
      </c>
    </row>
    <row r="198" spans="2:5" x14ac:dyDescent="0.45">
      <c r="B198">
        <v>53</v>
      </c>
      <c r="C198">
        <v>5</v>
      </c>
      <c r="D198" t="b">
        <v>0</v>
      </c>
      <c r="E198" t="s">
        <v>77</v>
      </c>
    </row>
    <row r="199" spans="2:5" x14ac:dyDescent="0.45">
      <c r="B199">
        <v>53</v>
      </c>
      <c r="C199">
        <v>6</v>
      </c>
      <c r="D199" t="b">
        <v>1</v>
      </c>
      <c r="E199" t="s">
        <v>77</v>
      </c>
    </row>
    <row r="200" spans="2:5" x14ac:dyDescent="0.45">
      <c r="B200">
        <v>54</v>
      </c>
      <c r="C200">
        <v>0</v>
      </c>
      <c r="D200" t="b">
        <v>0</v>
      </c>
      <c r="E200" t="s">
        <v>77</v>
      </c>
    </row>
    <row r="201" spans="2:5" x14ac:dyDescent="0.45">
      <c r="B201">
        <v>54</v>
      </c>
      <c r="C201">
        <v>1</v>
      </c>
      <c r="D201" t="b">
        <v>0</v>
      </c>
      <c r="E201" t="s">
        <v>77</v>
      </c>
    </row>
    <row r="202" spans="2:5" x14ac:dyDescent="0.45">
      <c r="B202">
        <v>54</v>
      </c>
      <c r="C202">
        <v>2</v>
      </c>
      <c r="D202" t="b">
        <v>1</v>
      </c>
      <c r="E202" t="s">
        <v>77</v>
      </c>
    </row>
    <row r="203" spans="2:5" x14ac:dyDescent="0.45">
      <c r="B203">
        <v>55</v>
      </c>
      <c r="C203">
        <v>0</v>
      </c>
      <c r="D203" t="b">
        <v>0</v>
      </c>
      <c r="E203" t="s">
        <v>78</v>
      </c>
    </row>
    <row r="204" spans="2:5" x14ac:dyDescent="0.45">
      <c r="B204">
        <v>55</v>
      </c>
      <c r="C204">
        <v>1</v>
      </c>
      <c r="D204" t="b">
        <v>0</v>
      </c>
      <c r="E204" t="s">
        <v>77</v>
      </c>
    </row>
    <row r="205" spans="2:5" x14ac:dyDescent="0.45">
      <c r="B205">
        <v>55</v>
      </c>
      <c r="C205">
        <v>2</v>
      </c>
      <c r="D205" t="b">
        <v>0</v>
      </c>
      <c r="E205" t="s">
        <v>78</v>
      </c>
    </row>
    <row r="206" spans="2:5" x14ac:dyDescent="0.45">
      <c r="B206">
        <v>56</v>
      </c>
      <c r="C206">
        <v>0</v>
      </c>
      <c r="D206" t="b">
        <v>0</v>
      </c>
      <c r="E206" t="s">
        <v>77</v>
      </c>
    </row>
    <row r="207" spans="2:5" x14ac:dyDescent="0.45">
      <c r="B207">
        <v>56</v>
      </c>
      <c r="C207">
        <v>1</v>
      </c>
      <c r="D207" t="b">
        <v>0</v>
      </c>
      <c r="E207" t="s">
        <v>79</v>
      </c>
    </row>
    <row r="208" spans="2:5" x14ac:dyDescent="0.45">
      <c r="B208">
        <v>56</v>
      </c>
      <c r="C208">
        <v>2</v>
      </c>
      <c r="D208" t="b">
        <v>0</v>
      </c>
      <c r="E208" t="s">
        <v>77</v>
      </c>
    </row>
    <row r="209" spans="2:5" x14ac:dyDescent="0.45">
      <c r="B209">
        <v>56</v>
      </c>
      <c r="C209">
        <v>3</v>
      </c>
      <c r="D209" t="b">
        <v>0</v>
      </c>
      <c r="E209" t="s">
        <v>77</v>
      </c>
    </row>
    <row r="210" spans="2:5" x14ac:dyDescent="0.45">
      <c r="B210">
        <v>57</v>
      </c>
      <c r="D210" t="b">
        <v>1</v>
      </c>
      <c r="E210" t="s">
        <v>77</v>
      </c>
    </row>
    <row r="211" spans="2:5" x14ac:dyDescent="0.45">
      <c r="B211">
        <v>58</v>
      </c>
      <c r="C211">
        <v>0</v>
      </c>
      <c r="D211" t="b">
        <v>0</v>
      </c>
      <c r="E211" t="s">
        <v>77</v>
      </c>
    </row>
    <row r="212" spans="2:5" x14ac:dyDescent="0.45">
      <c r="B212">
        <v>58</v>
      </c>
      <c r="C212">
        <v>1</v>
      </c>
      <c r="D212" t="b">
        <v>1</v>
      </c>
      <c r="E212" t="s">
        <v>77</v>
      </c>
    </row>
    <row r="213" spans="2:5" x14ac:dyDescent="0.45">
      <c r="B213">
        <v>59</v>
      </c>
      <c r="C213">
        <v>0</v>
      </c>
      <c r="D213" t="b">
        <v>0</v>
      </c>
      <c r="E213" t="s">
        <v>77</v>
      </c>
    </row>
    <row r="214" spans="2:5" x14ac:dyDescent="0.45">
      <c r="B214">
        <v>59</v>
      </c>
      <c r="C214">
        <v>1</v>
      </c>
      <c r="D214" t="b">
        <v>0</v>
      </c>
      <c r="E214" t="s">
        <v>77</v>
      </c>
    </row>
    <row r="215" spans="2:5" x14ac:dyDescent="0.45">
      <c r="B215">
        <v>59</v>
      </c>
      <c r="C215">
        <v>2</v>
      </c>
      <c r="D215" t="b">
        <v>0</v>
      </c>
      <c r="E215" t="s">
        <v>77</v>
      </c>
    </row>
    <row r="216" spans="2:5" x14ac:dyDescent="0.45">
      <c r="B216">
        <v>59</v>
      </c>
      <c r="C216">
        <v>3</v>
      </c>
      <c r="D216" t="b">
        <v>0</v>
      </c>
      <c r="E216" t="s">
        <v>79</v>
      </c>
    </row>
    <row r="217" spans="2:5" x14ac:dyDescent="0.45">
      <c r="B217">
        <v>59</v>
      </c>
      <c r="C217">
        <v>4</v>
      </c>
      <c r="D217" t="b">
        <v>0</v>
      </c>
      <c r="E217" t="s">
        <v>77</v>
      </c>
    </row>
    <row r="218" spans="2:5" x14ac:dyDescent="0.45">
      <c r="B218">
        <v>59</v>
      </c>
      <c r="C218">
        <v>5</v>
      </c>
      <c r="D218" t="b">
        <v>1</v>
      </c>
      <c r="E218" t="s">
        <v>77</v>
      </c>
    </row>
    <row r="219" spans="2:5" x14ac:dyDescent="0.45">
      <c r="B219">
        <v>60</v>
      </c>
      <c r="C219">
        <v>0</v>
      </c>
      <c r="D219" t="b">
        <v>0</v>
      </c>
      <c r="E219" t="s">
        <v>79</v>
      </c>
    </row>
    <row r="220" spans="2:5" x14ac:dyDescent="0.45">
      <c r="B220">
        <v>60</v>
      </c>
      <c r="C220">
        <v>1</v>
      </c>
      <c r="D220" t="b">
        <v>0</v>
      </c>
      <c r="E220" t="s">
        <v>77</v>
      </c>
    </row>
    <row r="221" spans="2:5" x14ac:dyDescent="0.45">
      <c r="B221">
        <v>60</v>
      </c>
      <c r="C221">
        <v>2</v>
      </c>
      <c r="D221" t="b">
        <v>0</v>
      </c>
      <c r="E221" t="s">
        <v>79</v>
      </c>
    </row>
    <row r="222" spans="2:5" x14ac:dyDescent="0.45">
      <c r="B222">
        <v>60</v>
      </c>
      <c r="C222">
        <v>3</v>
      </c>
      <c r="D222" t="b">
        <v>0</v>
      </c>
      <c r="E222" t="s">
        <v>79</v>
      </c>
    </row>
    <row r="223" spans="2:5" x14ac:dyDescent="0.45">
      <c r="B223">
        <v>60</v>
      </c>
      <c r="C223">
        <v>4</v>
      </c>
      <c r="D223" t="b">
        <v>0</v>
      </c>
      <c r="E223" t="s">
        <v>77</v>
      </c>
    </row>
    <row r="224" spans="2:5" x14ac:dyDescent="0.45">
      <c r="B224">
        <v>61</v>
      </c>
      <c r="C224">
        <v>0</v>
      </c>
      <c r="D224" t="b">
        <v>0</v>
      </c>
      <c r="E224" t="s">
        <v>77</v>
      </c>
    </row>
    <row r="225" spans="2:5" x14ac:dyDescent="0.45">
      <c r="B225">
        <v>61</v>
      </c>
      <c r="C225">
        <v>1</v>
      </c>
      <c r="D225" t="b">
        <v>0</v>
      </c>
      <c r="E225" t="s">
        <v>77</v>
      </c>
    </row>
    <row r="226" spans="2:5" x14ac:dyDescent="0.45">
      <c r="B226">
        <v>61</v>
      </c>
      <c r="C226">
        <v>2</v>
      </c>
      <c r="D226" t="b">
        <v>0</v>
      </c>
      <c r="E226" t="s">
        <v>80</v>
      </c>
    </row>
    <row r="227" spans="2:5" x14ac:dyDescent="0.45">
      <c r="B227">
        <v>61</v>
      </c>
      <c r="C227">
        <v>3</v>
      </c>
      <c r="D227" t="b">
        <v>0</v>
      </c>
      <c r="E227" t="s">
        <v>77</v>
      </c>
    </row>
    <row r="228" spans="2:5" x14ac:dyDescent="0.45">
      <c r="B228">
        <v>61</v>
      </c>
      <c r="C228">
        <v>4</v>
      </c>
      <c r="D228" t="b">
        <v>0</v>
      </c>
      <c r="E228" t="s">
        <v>77</v>
      </c>
    </row>
    <row r="229" spans="2:5" x14ac:dyDescent="0.45">
      <c r="B229">
        <v>61</v>
      </c>
      <c r="C229">
        <v>5</v>
      </c>
      <c r="D229" t="b">
        <v>0</v>
      </c>
      <c r="E229" t="s">
        <v>78</v>
      </c>
    </row>
    <row r="230" spans="2:5" x14ac:dyDescent="0.45">
      <c r="B230">
        <v>62</v>
      </c>
      <c r="C230">
        <v>0</v>
      </c>
      <c r="D230" t="b">
        <v>0</v>
      </c>
      <c r="E230" t="s">
        <v>77</v>
      </c>
    </row>
    <row r="231" spans="2:5" x14ac:dyDescent="0.45">
      <c r="B231">
        <v>62</v>
      </c>
      <c r="C231">
        <v>1</v>
      </c>
      <c r="D231" t="b">
        <v>0</v>
      </c>
      <c r="E231" t="s">
        <v>77</v>
      </c>
    </row>
    <row r="232" spans="2:5" x14ac:dyDescent="0.45">
      <c r="B232">
        <v>62</v>
      </c>
      <c r="C232">
        <v>2</v>
      </c>
      <c r="D232" t="b">
        <v>0</v>
      </c>
      <c r="E232" t="s">
        <v>77</v>
      </c>
    </row>
    <row r="233" spans="2:5" x14ac:dyDescent="0.45">
      <c r="B233">
        <v>62</v>
      </c>
      <c r="C233">
        <v>3</v>
      </c>
      <c r="D233" t="b">
        <v>0</v>
      </c>
      <c r="E233" t="s">
        <v>77</v>
      </c>
    </row>
    <row r="234" spans="2:5" x14ac:dyDescent="0.45">
      <c r="B234">
        <v>62</v>
      </c>
      <c r="C234">
        <v>4</v>
      </c>
      <c r="D234" t="b">
        <v>0</v>
      </c>
      <c r="E234" t="s">
        <v>77</v>
      </c>
    </row>
    <row r="235" spans="2:5" x14ac:dyDescent="0.45">
      <c r="B235">
        <v>62</v>
      </c>
      <c r="C235">
        <v>5</v>
      </c>
      <c r="D235" t="b">
        <v>1</v>
      </c>
      <c r="E235" t="s">
        <v>77</v>
      </c>
    </row>
    <row r="236" spans="2:5" x14ac:dyDescent="0.45">
      <c r="B236">
        <v>63</v>
      </c>
      <c r="C236">
        <v>0</v>
      </c>
      <c r="D236" t="b">
        <v>0</v>
      </c>
      <c r="E236" t="s">
        <v>77</v>
      </c>
    </row>
    <row r="237" spans="2:5" x14ac:dyDescent="0.45">
      <c r="B237">
        <v>63</v>
      </c>
      <c r="C237">
        <v>1</v>
      </c>
      <c r="D237" t="b">
        <v>0</v>
      </c>
      <c r="E237" t="s">
        <v>77</v>
      </c>
    </row>
    <row r="238" spans="2:5" x14ac:dyDescent="0.45">
      <c r="B238">
        <v>63</v>
      </c>
      <c r="C238">
        <v>2</v>
      </c>
      <c r="D238" t="b">
        <v>0</v>
      </c>
      <c r="E238" t="s">
        <v>77</v>
      </c>
    </row>
    <row r="239" spans="2:5" x14ac:dyDescent="0.45">
      <c r="B239">
        <v>63</v>
      </c>
      <c r="C239">
        <v>3</v>
      </c>
      <c r="D239" t="b">
        <v>0</v>
      </c>
      <c r="E239" t="s">
        <v>77</v>
      </c>
    </row>
    <row r="240" spans="2:5" x14ac:dyDescent="0.45">
      <c r="B240">
        <v>63</v>
      </c>
      <c r="C240">
        <v>4</v>
      </c>
      <c r="D240" t="b">
        <v>1</v>
      </c>
      <c r="E240" t="s">
        <v>77</v>
      </c>
    </row>
    <row r="241" spans="2:5" x14ac:dyDescent="0.45">
      <c r="B241">
        <v>64</v>
      </c>
      <c r="C241">
        <v>0</v>
      </c>
      <c r="D241" t="b">
        <v>0</v>
      </c>
      <c r="E241" t="s">
        <v>79</v>
      </c>
    </row>
    <row r="242" spans="2:5" x14ac:dyDescent="0.45">
      <c r="B242">
        <v>64</v>
      </c>
      <c r="C242">
        <v>1</v>
      </c>
      <c r="D242" t="b">
        <v>0</v>
      </c>
      <c r="E242" t="s">
        <v>77</v>
      </c>
    </row>
    <row r="243" spans="2:5" x14ac:dyDescent="0.45">
      <c r="B243">
        <v>64</v>
      </c>
      <c r="C243">
        <v>2</v>
      </c>
      <c r="D243" t="b">
        <v>0</v>
      </c>
      <c r="E243" t="s">
        <v>77</v>
      </c>
    </row>
    <row r="244" spans="2:5" x14ac:dyDescent="0.45">
      <c r="B244">
        <v>64</v>
      </c>
      <c r="C244">
        <v>3</v>
      </c>
      <c r="D244" t="b">
        <v>0</v>
      </c>
      <c r="E244" t="s">
        <v>77</v>
      </c>
    </row>
    <row r="245" spans="2:5" x14ac:dyDescent="0.45">
      <c r="B245">
        <v>64</v>
      </c>
      <c r="C245">
        <v>4</v>
      </c>
      <c r="D245" t="b">
        <v>1</v>
      </c>
      <c r="E245" t="s">
        <v>77</v>
      </c>
    </row>
    <row r="246" spans="2:5" x14ac:dyDescent="0.45">
      <c r="B246">
        <v>65</v>
      </c>
      <c r="C246">
        <v>0</v>
      </c>
      <c r="D246" t="b">
        <v>0</v>
      </c>
      <c r="E246" t="s">
        <v>77</v>
      </c>
    </row>
    <row r="247" spans="2:5" x14ac:dyDescent="0.45">
      <c r="B247">
        <v>65</v>
      </c>
      <c r="C247">
        <v>1</v>
      </c>
      <c r="D247" t="b">
        <v>0</v>
      </c>
      <c r="E247" t="s">
        <v>77</v>
      </c>
    </row>
    <row r="248" spans="2:5" x14ac:dyDescent="0.45">
      <c r="B248">
        <v>65</v>
      </c>
      <c r="C248">
        <v>2</v>
      </c>
      <c r="D248" t="b">
        <v>0</v>
      </c>
      <c r="E248" t="s">
        <v>77</v>
      </c>
    </row>
    <row r="249" spans="2:5" x14ac:dyDescent="0.45">
      <c r="B249">
        <v>65</v>
      </c>
      <c r="C249">
        <v>3</v>
      </c>
      <c r="D249" t="b">
        <v>0</v>
      </c>
      <c r="E249" t="s">
        <v>77</v>
      </c>
    </row>
    <row r="250" spans="2:5" x14ac:dyDescent="0.45">
      <c r="B250">
        <v>65</v>
      </c>
      <c r="C250">
        <v>4</v>
      </c>
      <c r="D250" t="b">
        <v>1</v>
      </c>
      <c r="E250" t="s">
        <v>77</v>
      </c>
    </row>
    <row r="251" spans="2:5" x14ac:dyDescent="0.45">
      <c r="B251">
        <v>66</v>
      </c>
      <c r="C251">
        <v>0</v>
      </c>
      <c r="D251" t="b">
        <v>1</v>
      </c>
      <c r="E251" t="s">
        <v>77</v>
      </c>
    </row>
    <row r="252" spans="2:5" x14ac:dyDescent="0.45">
      <c r="B252">
        <v>67</v>
      </c>
      <c r="C252">
        <v>0</v>
      </c>
      <c r="D252" t="b">
        <v>0</v>
      </c>
      <c r="E252" t="s">
        <v>77</v>
      </c>
    </row>
    <row r="253" spans="2:5" x14ac:dyDescent="0.45">
      <c r="B253">
        <v>67</v>
      </c>
      <c r="C253">
        <v>1</v>
      </c>
      <c r="D253" t="b">
        <v>0</v>
      </c>
      <c r="E253" t="s">
        <v>78</v>
      </c>
    </row>
    <row r="254" spans="2:5" x14ac:dyDescent="0.45">
      <c r="B254">
        <v>67</v>
      </c>
      <c r="C254">
        <v>2</v>
      </c>
      <c r="D254" t="b">
        <v>1</v>
      </c>
      <c r="E254" t="s">
        <v>77</v>
      </c>
    </row>
    <row r="255" spans="2:5" x14ac:dyDescent="0.45">
      <c r="B255">
        <v>68</v>
      </c>
      <c r="C255">
        <v>0</v>
      </c>
      <c r="D255" t="b">
        <v>0</v>
      </c>
      <c r="E255" t="s">
        <v>79</v>
      </c>
    </row>
    <row r="256" spans="2:5" x14ac:dyDescent="0.45">
      <c r="B256">
        <v>68</v>
      </c>
      <c r="C256">
        <v>1</v>
      </c>
      <c r="D256" t="b">
        <v>0</v>
      </c>
      <c r="E256" t="s">
        <v>77</v>
      </c>
    </row>
    <row r="257" spans="2:5" x14ac:dyDescent="0.45">
      <c r="B257">
        <v>68</v>
      </c>
      <c r="C257">
        <v>2</v>
      </c>
      <c r="D257" t="b">
        <v>0</v>
      </c>
      <c r="E257" t="s">
        <v>77</v>
      </c>
    </row>
    <row r="258" spans="2:5" x14ac:dyDescent="0.45">
      <c r="B258">
        <v>68</v>
      </c>
      <c r="C258">
        <v>3</v>
      </c>
      <c r="D258" t="b">
        <v>1</v>
      </c>
      <c r="E258" t="s">
        <v>77</v>
      </c>
    </row>
    <row r="259" spans="2:5" x14ac:dyDescent="0.45">
      <c r="B259">
        <v>69</v>
      </c>
      <c r="C259">
        <v>0</v>
      </c>
      <c r="D259" t="b">
        <v>0</v>
      </c>
      <c r="E259" t="s">
        <v>78</v>
      </c>
    </row>
    <row r="260" spans="2:5" x14ac:dyDescent="0.45">
      <c r="B260">
        <v>69</v>
      </c>
      <c r="C260">
        <v>1</v>
      </c>
      <c r="D260" t="b">
        <v>0</v>
      </c>
      <c r="E260" t="s">
        <v>78</v>
      </c>
    </row>
    <row r="261" spans="2:5" x14ac:dyDescent="0.45">
      <c r="B261">
        <v>69</v>
      </c>
      <c r="C261">
        <v>2</v>
      </c>
      <c r="D261" t="b">
        <v>0</v>
      </c>
      <c r="E261" t="s">
        <v>77</v>
      </c>
    </row>
    <row r="262" spans="2:5" x14ac:dyDescent="0.45">
      <c r="B262">
        <v>69</v>
      </c>
      <c r="C262">
        <v>3</v>
      </c>
      <c r="D262" t="b">
        <v>0</v>
      </c>
      <c r="E262" t="s">
        <v>78</v>
      </c>
    </row>
    <row r="263" spans="2:5" x14ac:dyDescent="0.45">
      <c r="B263">
        <v>70</v>
      </c>
      <c r="C263">
        <v>0</v>
      </c>
      <c r="D263" t="b">
        <v>0</v>
      </c>
      <c r="E263" t="s">
        <v>79</v>
      </c>
    </row>
    <row r="264" spans="2:5" x14ac:dyDescent="0.45">
      <c r="B264">
        <v>70</v>
      </c>
      <c r="C264">
        <v>1</v>
      </c>
      <c r="D264" t="b">
        <v>0</v>
      </c>
      <c r="E264" t="s">
        <v>77</v>
      </c>
    </row>
    <row r="265" spans="2:5" x14ac:dyDescent="0.45">
      <c r="B265">
        <v>70</v>
      </c>
      <c r="C265">
        <v>2</v>
      </c>
      <c r="D265" t="b">
        <v>0</v>
      </c>
      <c r="E265" t="s">
        <v>77</v>
      </c>
    </row>
    <row r="266" spans="2:5" x14ac:dyDescent="0.45">
      <c r="B266">
        <v>70</v>
      </c>
      <c r="C266">
        <v>3</v>
      </c>
      <c r="D266" t="b">
        <v>0</v>
      </c>
      <c r="E266" t="s">
        <v>78</v>
      </c>
    </row>
    <row r="267" spans="2:5" x14ac:dyDescent="0.45">
      <c r="B267">
        <v>70</v>
      </c>
      <c r="C267">
        <v>4</v>
      </c>
      <c r="D267" t="b">
        <v>0</v>
      </c>
      <c r="E267" t="s">
        <v>77</v>
      </c>
    </row>
    <row r="268" spans="2:5" x14ac:dyDescent="0.45">
      <c r="B268">
        <v>71</v>
      </c>
      <c r="D268" t="b">
        <v>1</v>
      </c>
      <c r="E268" t="s">
        <v>77</v>
      </c>
    </row>
    <row r="269" spans="2:5" x14ac:dyDescent="0.45">
      <c r="B269">
        <v>72</v>
      </c>
      <c r="C269">
        <v>0</v>
      </c>
      <c r="D269" t="b">
        <v>0</v>
      </c>
      <c r="E269" t="s">
        <v>77</v>
      </c>
    </row>
    <row r="270" spans="2:5" x14ac:dyDescent="0.45">
      <c r="B270">
        <v>72</v>
      </c>
      <c r="C270">
        <v>1</v>
      </c>
      <c r="D270" t="b">
        <v>0</v>
      </c>
      <c r="E270" t="s">
        <v>77</v>
      </c>
    </row>
    <row r="271" spans="2:5" x14ac:dyDescent="0.45">
      <c r="B271">
        <v>72</v>
      </c>
      <c r="C271">
        <v>2</v>
      </c>
      <c r="D271" t="b">
        <v>0</v>
      </c>
      <c r="E271" t="s">
        <v>76</v>
      </c>
    </row>
    <row r="272" spans="2:5" x14ac:dyDescent="0.45">
      <c r="B272">
        <v>72</v>
      </c>
      <c r="C272">
        <v>3</v>
      </c>
      <c r="D272" t="b">
        <v>0</v>
      </c>
      <c r="E272" t="s">
        <v>77</v>
      </c>
    </row>
    <row r="273" spans="2:5" x14ac:dyDescent="0.45">
      <c r="B273">
        <v>72</v>
      </c>
      <c r="C273">
        <v>4</v>
      </c>
      <c r="D273" t="b">
        <v>0</v>
      </c>
      <c r="E273" t="s">
        <v>77</v>
      </c>
    </row>
    <row r="274" spans="2:5" x14ac:dyDescent="0.45">
      <c r="B274">
        <v>72</v>
      </c>
      <c r="C274">
        <v>5</v>
      </c>
      <c r="D274" t="b">
        <v>0</v>
      </c>
      <c r="E274" t="s">
        <v>77</v>
      </c>
    </row>
    <row r="275" spans="2:5" x14ac:dyDescent="0.45">
      <c r="B275">
        <v>72</v>
      </c>
      <c r="C275">
        <v>6</v>
      </c>
      <c r="D275" t="b">
        <v>0</v>
      </c>
      <c r="E275" t="s">
        <v>80</v>
      </c>
    </row>
    <row r="276" spans="2:5" x14ac:dyDescent="0.45">
      <c r="B276">
        <v>73</v>
      </c>
      <c r="D276" t="b">
        <v>1</v>
      </c>
      <c r="E276" t="s">
        <v>77</v>
      </c>
    </row>
    <row r="277" spans="2:5" x14ac:dyDescent="0.45">
      <c r="B277">
        <v>74</v>
      </c>
      <c r="C277">
        <v>0</v>
      </c>
      <c r="D277" t="b">
        <v>1</v>
      </c>
      <c r="E277" t="s">
        <v>77</v>
      </c>
    </row>
    <row r="278" spans="2:5" x14ac:dyDescent="0.45">
      <c r="B278">
        <v>75</v>
      </c>
      <c r="C278">
        <v>0</v>
      </c>
      <c r="D278" t="b">
        <v>0</v>
      </c>
      <c r="E278" t="s">
        <v>77</v>
      </c>
    </row>
    <row r="279" spans="2:5" x14ac:dyDescent="0.45">
      <c r="B279">
        <v>75</v>
      </c>
      <c r="C279">
        <v>1</v>
      </c>
      <c r="D279" t="b">
        <v>0</v>
      </c>
      <c r="E279" t="s">
        <v>77</v>
      </c>
    </row>
    <row r="280" spans="2:5" x14ac:dyDescent="0.45">
      <c r="B280">
        <v>75</v>
      </c>
      <c r="C280">
        <v>2</v>
      </c>
      <c r="D280" t="b">
        <v>0</v>
      </c>
      <c r="E280" t="s">
        <v>77</v>
      </c>
    </row>
    <row r="281" spans="2:5" x14ac:dyDescent="0.45">
      <c r="B281">
        <v>75</v>
      </c>
      <c r="C281">
        <v>3</v>
      </c>
      <c r="D281" t="b">
        <v>0</v>
      </c>
      <c r="E281" t="s">
        <v>77</v>
      </c>
    </row>
    <row r="282" spans="2:5" x14ac:dyDescent="0.45">
      <c r="B282">
        <v>76</v>
      </c>
      <c r="C282">
        <v>0</v>
      </c>
      <c r="D282" t="b">
        <v>0</v>
      </c>
      <c r="E282" t="s">
        <v>77</v>
      </c>
    </row>
    <row r="283" spans="2:5" x14ac:dyDescent="0.45">
      <c r="B283">
        <v>76</v>
      </c>
      <c r="C283">
        <v>1</v>
      </c>
      <c r="D283" t="b">
        <v>0</v>
      </c>
      <c r="E283" t="s">
        <v>80</v>
      </c>
    </row>
    <row r="284" spans="2:5" x14ac:dyDescent="0.45">
      <c r="B284">
        <v>76</v>
      </c>
      <c r="C284">
        <v>2</v>
      </c>
      <c r="D284" t="b">
        <v>0</v>
      </c>
      <c r="E284" t="s">
        <v>79</v>
      </c>
    </row>
    <row r="285" spans="2:5" x14ac:dyDescent="0.45">
      <c r="B285">
        <v>76</v>
      </c>
      <c r="C285">
        <v>3</v>
      </c>
      <c r="D285" t="b">
        <v>0</v>
      </c>
      <c r="E285" t="s">
        <v>77</v>
      </c>
    </row>
    <row r="286" spans="2:5" x14ac:dyDescent="0.45">
      <c r="B286">
        <v>76</v>
      </c>
      <c r="C286">
        <v>4</v>
      </c>
      <c r="D286" t="b">
        <v>0</v>
      </c>
      <c r="E286" t="s">
        <v>77</v>
      </c>
    </row>
    <row r="287" spans="2:5" x14ac:dyDescent="0.45">
      <c r="B287">
        <v>76</v>
      </c>
      <c r="C287">
        <v>5</v>
      </c>
      <c r="D287" t="b">
        <v>1</v>
      </c>
      <c r="E287" t="s">
        <v>77</v>
      </c>
    </row>
    <row r="288" spans="2:5" x14ac:dyDescent="0.45">
      <c r="B288">
        <v>77</v>
      </c>
      <c r="C288">
        <v>0</v>
      </c>
      <c r="D288" t="b">
        <v>0</v>
      </c>
      <c r="E288" t="s">
        <v>79</v>
      </c>
    </row>
    <row r="289" spans="2:5" x14ac:dyDescent="0.45">
      <c r="B289">
        <v>77</v>
      </c>
      <c r="C289">
        <v>1</v>
      </c>
      <c r="D289" t="b">
        <v>0</v>
      </c>
      <c r="E289" t="s">
        <v>77</v>
      </c>
    </row>
    <row r="290" spans="2:5" x14ac:dyDescent="0.45">
      <c r="B290">
        <v>77</v>
      </c>
      <c r="C290">
        <v>2</v>
      </c>
      <c r="D290" t="b">
        <v>1</v>
      </c>
      <c r="E290" t="s">
        <v>77</v>
      </c>
    </row>
    <row r="291" spans="2:5" x14ac:dyDescent="0.45">
      <c r="B291">
        <v>78</v>
      </c>
      <c r="C291">
        <v>0</v>
      </c>
      <c r="D291" t="b">
        <v>0</v>
      </c>
      <c r="E291" t="s">
        <v>77</v>
      </c>
    </row>
    <row r="292" spans="2:5" x14ac:dyDescent="0.45">
      <c r="B292">
        <v>78</v>
      </c>
      <c r="C292">
        <v>1</v>
      </c>
      <c r="D292" t="b">
        <v>0</v>
      </c>
      <c r="E292" t="s">
        <v>78</v>
      </c>
    </row>
    <row r="293" spans="2:5" x14ac:dyDescent="0.45">
      <c r="B293">
        <v>78</v>
      </c>
      <c r="C293">
        <v>2</v>
      </c>
      <c r="D293" t="b">
        <v>0</v>
      </c>
      <c r="E293" t="s">
        <v>77</v>
      </c>
    </row>
    <row r="294" spans="2:5" x14ac:dyDescent="0.45">
      <c r="B294">
        <v>78</v>
      </c>
      <c r="C294">
        <v>3</v>
      </c>
      <c r="D294" t="b">
        <v>0</v>
      </c>
      <c r="E294" t="s">
        <v>76</v>
      </c>
    </row>
    <row r="295" spans="2:5" x14ac:dyDescent="0.45">
      <c r="B295">
        <v>78</v>
      </c>
      <c r="C295">
        <v>4</v>
      </c>
      <c r="D295" t="b">
        <v>1</v>
      </c>
      <c r="E295" t="s">
        <v>77</v>
      </c>
    </row>
    <row r="296" spans="2:5" x14ac:dyDescent="0.45">
      <c r="B296">
        <v>79</v>
      </c>
      <c r="C296">
        <v>0</v>
      </c>
      <c r="D296" t="b">
        <v>0</v>
      </c>
      <c r="E296" t="s">
        <v>77</v>
      </c>
    </row>
    <row r="297" spans="2:5" x14ac:dyDescent="0.45">
      <c r="B297">
        <v>79</v>
      </c>
      <c r="C297">
        <v>1</v>
      </c>
      <c r="D297" t="b">
        <v>0</v>
      </c>
      <c r="E297" t="s">
        <v>77</v>
      </c>
    </row>
    <row r="298" spans="2:5" x14ac:dyDescent="0.45">
      <c r="B298">
        <v>79</v>
      </c>
      <c r="C298">
        <v>2</v>
      </c>
      <c r="D298" t="b">
        <v>0</v>
      </c>
      <c r="E298" t="s">
        <v>80</v>
      </c>
    </row>
    <row r="299" spans="2:5" x14ac:dyDescent="0.45">
      <c r="B299">
        <v>80</v>
      </c>
      <c r="C299">
        <v>0</v>
      </c>
      <c r="D299" t="b">
        <v>0</v>
      </c>
      <c r="E299" t="s">
        <v>77</v>
      </c>
    </row>
    <row r="300" spans="2:5" x14ac:dyDescent="0.45">
      <c r="B300">
        <v>80</v>
      </c>
      <c r="C300">
        <v>1</v>
      </c>
      <c r="D300" t="b">
        <v>0</v>
      </c>
      <c r="E300" t="s">
        <v>79</v>
      </c>
    </row>
    <row r="301" spans="2:5" x14ac:dyDescent="0.45">
      <c r="B301">
        <v>80</v>
      </c>
      <c r="C301">
        <v>2</v>
      </c>
      <c r="D301" t="b">
        <v>0</v>
      </c>
      <c r="E301" t="s">
        <v>77</v>
      </c>
    </row>
    <row r="302" spans="2:5" x14ac:dyDescent="0.45">
      <c r="B302">
        <v>80</v>
      </c>
      <c r="C302">
        <v>3</v>
      </c>
      <c r="D302" t="b">
        <v>0</v>
      </c>
      <c r="E302" t="s">
        <v>77</v>
      </c>
    </row>
    <row r="303" spans="2:5" x14ac:dyDescent="0.45">
      <c r="B303">
        <v>80</v>
      </c>
      <c r="C303">
        <v>4</v>
      </c>
      <c r="D303" t="b">
        <v>1</v>
      </c>
      <c r="E303" t="s">
        <v>77</v>
      </c>
    </row>
    <row r="304" spans="2:5" x14ac:dyDescent="0.45">
      <c r="B304">
        <v>81</v>
      </c>
      <c r="C304">
        <v>0</v>
      </c>
      <c r="D304" t="b">
        <v>0</v>
      </c>
      <c r="E304" t="s">
        <v>78</v>
      </c>
    </row>
    <row r="305" spans="2:5" x14ac:dyDescent="0.45">
      <c r="B305">
        <v>81</v>
      </c>
      <c r="C305">
        <v>1</v>
      </c>
      <c r="D305" t="b">
        <v>0</v>
      </c>
      <c r="E305" t="s">
        <v>77</v>
      </c>
    </row>
    <row r="306" spans="2:5" x14ac:dyDescent="0.45">
      <c r="B306">
        <v>81</v>
      </c>
      <c r="C306">
        <v>2</v>
      </c>
      <c r="D306" t="b">
        <v>0</v>
      </c>
      <c r="E306" t="s">
        <v>77</v>
      </c>
    </row>
    <row r="307" spans="2:5" x14ac:dyDescent="0.45">
      <c r="B307">
        <v>81</v>
      </c>
      <c r="C307">
        <v>3</v>
      </c>
      <c r="D307" t="b">
        <v>0</v>
      </c>
      <c r="E307" t="s">
        <v>77</v>
      </c>
    </row>
    <row r="308" spans="2:5" x14ac:dyDescent="0.45">
      <c r="B308">
        <v>81</v>
      </c>
      <c r="C308">
        <v>4</v>
      </c>
      <c r="D308" t="b">
        <v>0</v>
      </c>
      <c r="E308" t="s">
        <v>77</v>
      </c>
    </row>
    <row r="309" spans="2:5" x14ac:dyDescent="0.45">
      <c r="B309">
        <v>81</v>
      </c>
      <c r="C309">
        <v>5</v>
      </c>
      <c r="D309" t="b">
        <v>0</v>
      </c>
      <c r="E309" t="s">
        <v>77</v>
      </c>
    </row>
    <row r="310" spans="2:5" x14ac:dyDescent="0.45">
      <c r="B310">
        <v>82</v>
      </c>
      <c r="C310">
        <v>0</v>
      </c>
      <c r="D310" t="b">
        <v>0</v>
      </c>
      <c r="E310" t="s">
        <v>79</v>
      </c>
    </row>
    <row r="311" spans="2:5" x14ac:dyDescent="0.45">
      <c r="B311">
        <v>82</v>
      </c>
      <c r="C311">
        <v>1</v>
      </c>
      <c r="D311" t="b">
        <v>0</v>
      </c>
      <c r="E311" t="s">
        <v>77</v>
      </c>
    </row>
    <row r="312" spans="2:5" x14ac:dyDescent="0.45">
      <c r="B312">
        <v>82</v>
      </c>
      <c r="C312">
        <v>2</v>
      </c>
      <c r="D312" t="b">
        <v>0</v>
      </c>
      <c r="E312" t="s">
        <v>77</v>
      </c>
    </row>
    <row r="313" spans="2:5" x14ac:dyDescent="0.45">
      <c r="B313">
        <v>82</v>
      </c>
      <c r="C313">
        <v>3</v>
      </c>
      <c r="D313" t="b">
        <v>0</v>
      </c>
      <c r="E313" t="s">
        <v>77</v>
      </c>
    </row>
    <row r="314" spans="2:5" x14ac:dyDescent="0.45">
      <c r="B314">
        <v>82</v>
      </c>
      <c r="C314">
        <v>4</v>
      </c>
      <c r="D314" t="b">
        <v>0</v>
      </c>
      <c r="E314" t="s">
        <v>77</v>
      </c>
    </row>
    <row r="315" spans="2:5" x14ac:dyDescent="0.45">
      <c r="B315">
        <v>82</v>
      </c>
      <c r="C315">
        <v>5</v>
      </c>
      <c r="D315" t="b">
        <v>0</v>
      </c>
      <c r="E315" t="s">
        <v>77</v>
      </c>
    </row>
    <row r="316" spans="2:5" x14ac:dyDescent="0.45">
      <c r="B316">
        <v>82</v>
      </c>
      <c r="C316">
        <v>6</v>
      </c>
      <c r="D316" t="b">
        <v>1</v>
      </c>
      <c r="E316" t="s">
        <v>77</v>
      </c>
    </row>
    <row r="317" spans="2:5" x14ac:dyDescent="0.45">
      <c r="B317">
        <v>83</v>
      </c>
      <c r="C317">
        <v>0</v>
      </c>
      <c r="D317" t="b">
        <v>0</v>
      </c>
      <c r="E317" t="s">
        <v>79</v>
      </c>
    </row>
    <row r="318" spans="2:5" x14ac:dyDescent="0.45">
      <c r="B318">
        <v>83</v>
      </c>
      <c r="C318">
        <v>1</v>
      </c>
      <c r="D318" t="b">
        <v>0</v>
      </c>
      <c r="E318" t="s">
        <v>77</v>
      </c>
    </row>
    <row r="319" spans="2:5" x14ac:dyDescent="0.45">
      <c r="B319">
        <v>83</v>
      </c>
      <c r="C319">
        <v>2</v>
      </c>
      <c r="D319" t="b">
        <v>1</v>
      </c>
      <c r="E319" t="s">
        <v>77</v>
      </c>
    </row>
    <row r="320" spans="2:5" x14ac:dyDescent="0.45">
      <c r="B320">
        <v>84</v>
      </c>
      <c r="C320">
        <v>0</v>
      </c>
      <c r="D320" t="b">
        <v>0</v>
      </c>
      <c r="E320" t="s">
        <v>77</v>
      </c>
    </row>
    <row r="321" spans="2:5" x14ac:dyDescent="0.45">
      <c r="B321">
        <v>84</v>
      </c>
      <c r="C321">
        <v>1</v>
      </c>
      <c r="D321" t="b">
        <v>0</v>
      </c>
      <c r="E321" t="s">
        <v>77</v>
      </c>
    </row>
    <row r="322" spans="2:5" x14ac:dyDescent="0.45">
      <c r="B322">
        <v>84</v>
      </c>
      <c r="C322">
        <v>2</v>
      </c>
      <c r="D322" t="b">
        <v>0</v>
      </c>
      <c r="E322" t="s">
        <v>79</v>
      </c>
    </row>
    <row r="323" spans="2:5" x14ac:dyDescent="0.45">
      <c r="B323">
        <v>84</v>
      </c>
      <c r="C323">
        <v>3</v>
      </c>
      <c r="D323" t="b">
        <v>0</v>
      </c>
      <c r="E323" t="s">
        <v>77</v>
      </c>
    </row>
    <row r="324" spans="2:5" x14ac:dyDescent="0.45">
      <c r="B324">
        <v>84</v>
      </c>
      <c r="C324">
        <v>4</v>
      </c>
      <c r="D324" t="b">
        <v>0</v>
      </c>
      <c r="E324" t="s">
        <v>77</v>
      </c>
    </row>
    <row r="325" spans="2:5" x14ac:dyDescent="0.45">
      <c r="B325">
        <v>85</v>
      </c>
      <c r="C325">
        <v>0</v>
      </c>
      <c r="D325" t="b">
        <v>1</v>
      </c>
      <c r="E325" t="s">
        <v>77</v>
      </c>
    </row>
    <row r="326" spans="2:5" x14ac:dyDescent="0.45">
      <c r="B326">
        <v>86</v>
      </c>
      <c r="D326" t="b">
        <v>1</v>
      </c>
      <c r="E326" t="s">
        <v>77</v>
      </c>
    </row>
    <row r="327" spans="2:5" x14ac:dyDescent="0.45">
      <c r="B327">
        <v>87</v>
      </c>
      <c r="C327">
        <v>0</v>
      </c>
      <c r="D327" t="b">
        <v>0</v>
      </c>
      <c r="E327" t="s">
        <v>77</v>
      </c>
    </row>
    <row r="328" spans="2:5" x14ac:dyDescent="0.45">
      <c r="B328">
        <v>87</v>
      </c>
      <c r="C328">
        <v>1</v>
      </c>
      <c r="D328" t="b">
        <v>0</v>
      </c>
      <c r="E328" t="s">
        <v>77</v>
      </c>
    </row>
    <row r="329" spans="2:5" x14ac:dyDescent="0.45">
      <c r="B329">
        <v>87</v>
      </c>
      <c r="C329">
        <v>2</v>
      </c>
      <c r="D329" t="b">
        <v>0</v>
      </c>
      <c r="E329" t="s">
        <v>77</v>
      </c>
    </row>
    <row r="330" spans="2:5" x14ac:dyDescent="0.45">
      <c r="B330">
        <v>87</v>
      </c>
      <c r="C330">
        <v>3</v>
      </c>
      <c r="D330" t="b">
        <v>0</v>
      </c>
      <c r="E330" t="s">
        <v>79</v>
      </c>
    </row>
    <row r="331" spans="2:5" x14ac:dyDescent="0.45">
      <c r="B331">
        <v>87</v>
      </c>
      <c r="C331">
        <v>4</v>
      </c>
      <c r="D331" t="b">
        <v>0</v>
      </c>
      <c r="E331" t="s">
        <v>76</v>
      </c>
    </row>
    <row r="332" spans="2:5" x14ac:dyDescent="0.45">
      <c r="B332">
        <v>87</v>
      </c>
      <c r="C332">
        <v>5</v>
      </c>
      <c r="D332" t="b">
        <v>0</v>
      </c>
      <c r="E332" t="s">
        <v>77</v>
      </c>
    </row>
    <row r="333" spans="2:5" x14ac:dyDescent="0.45">
      <c r="B333">
        <v>87</v>
      </c>
      <c r="C333">
        <v>6</v>
      </c>
      <c r="D333" t="b">
        <v>1</v>
      </c>
      <c r="E333" t="s">
        <v>77</v>
      </c>
    </row>
    <row r="334" spans="2:5" x14ac:dyDescent="0.45">
      <c r="B334">
        <v>88</v>
      </c>
      <c r="C334">
        <v>0</v>
      </c>
      <c r="D334" t="b">
        <v>1</v>
      </c>
      <c r="E334" t="s">
        <v>77</v>
      </c>
    </row>
    <row r="335" spans="2:5" x14ac:dyDescent="0.45">
      <c r="B335">
        <v>89</v>
      </c>
      <c r="C335">
        <v>0</v>
      </c>
      <c r="D335" t="b">
        <v>0</v>
      </c>
      <c r="E335" t="s">
        <v>77</v>
      </c>
    </row>
    <row r="336" spans="2:5" x14ac:dyDescent="0.45">
      <c r="B336">
        <v>89</v>
      </c>
      <c r="C336">
        <v>1</v>
      </c>
      <c r="D336" t="b">
        <v>0</v>
      </c>
      <c r="E336" t="s">
        <v>77</v>
      </c>
    </row>
    <row r="337" spans="2:5" x14ac:dyDescent="0.45">
      <c r="B337">
        <v>89</v>
      </c>
      <c r="C337">
        <v>2</v>
      </c>
      <c r="D337" t="b">
        <v>0</v>
      </c>
      <c r="E337" t="s">
        <v>77</v>
      </c>
    </row>
    <row r="338" spans="2:5" x14ac:dyDescent="0.45">
      <c r="B338">
        <v>89</v>
      </c>
      <c r="C338">
        <v>3</v>
      </c>
      <c r="D338" t="b">
        <v>0</v>
      </c>
      <c r="E338" t="s">
        <v>77</v>
      </c>
    </row>
    <row r="339" spans="2:5" x14ac:dyDescent="0.45">
      <c r="B339">
        <v>89</v>
      </c>
      <c r="C339">
        <v>4</v>
      </c>
      <c r="D339" t="b">
        <v>0</v>
      </c>
      <c r="E339" t="s">
        <v>77</v>
      </c>
    </row>
    <row r="340" spans="2:5" x14ac:dyDescent="0.45">
      <c r="B340">
        <v>89</v>
      </c>
      <c r="C340">
        <v>5</v>
      </c>
      <c r="D340" t="b">
        <v>0</v>
      </c>
      <c r="E340" t="s">
        <v>77</v>
      </c>
    </row>
    <row r="341" spans="2:5" x14ac:dyDescent="0.45">
      <c r="B341">
        <v>89</v>
      </c>
      <c r="C341">
        <v>6</v>
      </c>
      <c r="D341" t="b">
        <v>1</v>
      </c>
      <c r="E341" t="s">
        <v>77</v>
      </c>
    </row>
    <row r="342" spans="2:5" x14ac:dyDescent="0.45">
      <c r="B342">
        <v>90</v>
      </c>
      <c r="C342">
        <v>0</v>
      </c>
      <c r="D342" t="b">
        <v>0</v>
      </c>
      <c r="E342" t="s">
        <v>77</v>
      </c>
    </row>
    <row r="343" spans="2:5" x14ac:dyDescent="0.45">
      <c r="B343">
        <v>90</v>
      </c>
      <c r="C343">
        <v>1</v>
      </c>
      <c r="D343" t="b">
        <v>0</v>
      </c>
      <c r="E343" t="s">
        <v>77</v>
      </c>
    </row>
    <row r="344" spans="2:5" x14ac:dyDescent="0.45">
      <c r="B344">
        <v>90</v>
      </c>
      <c r="C344">
        <v>2</v>
      </c>
      <c r="D344" t="b">
        <v>0</v>
      </c>
      <c r="E344" t="s">
        <v>77</v>
      </c>
    </row>
    <row r="345" spans="2:5" x14ac:dyDescent="0.45">
      <c r="B345">
        <v>90</v>
      </c>
      <c r="C345">
        <v>3</v>
      </c>
      <c r="D345" t="b">
        <v>0</v>
      </c>
      <c r="E345" t="s">
        <v>77</v>
      </c>
    </row>
    <row r="346" spans="2:5" x14ac:dyDescent="0.45">
      <c r="B346">
        <v>90</v>
      </c>
      <c r="C346">
        <v>4</v>
      </c>
      <c r="D346" t="b">
        <v>0</v>
      </c>
      <c r="E346" t="s">
        <v>78</v>
      </c>
    </row>
    <row r="347" spans="2:5" x14ac:dyDescent="0.45">
      <c r="B347">
        <v>90</v>
      </c>
      <c r="C347">
        <v>5</v>
      </c>
      <c r="D347" t="b">
        <v>0</v>
      </c>
      <c r="E347" t="s">
        <v>77</v>
      </c>
    </row>
    <row r="348" spans="2:5" x14ac:dyDescent="0.45">
      <c r="B348">
        <v>90</v>
      </c>
      <c r="C348">
        <v>6</v>
      </c>
      <c r="D348" t="b">
        <v>1</v>
      </c>
      <c r="E348" t="s">
        <v>77</v>
      </c>
    </row>
    <row r="349" spans="2:5" x14ac:dyDescent="0.45">
      <c r="B349">
        <v>91</v>
      </c>
      <c r="C349">
        <v>0</v>
      </c>
      <c r="D349" t="b">
        <v>0</v>
      </c>
      <c r="E349" t="s">
        <v>77</v>
      </c>
    </row>
    <row r="350" spans="2:5" x14ac:dyDescent="0.45">
      <c r="B350">
        <v>91</v>
      </c>
      <c r="C350">
        <v>1</v>
      </c>
      <c r="D350" t="b">
        <v>0</v>
      </c>
      <c r="E350" t="s">
        <v>77</v>
      </c>
    </row>
    <row r="351" spans="2:5" x14ac:dyDescent="0.45">
      <c r="B351">
        <v>91</v>
      </c>
      <c r="C351">
        <v>2</v>
      </c>
      <c r="D351" t="b">
        <v>0</v>
      </c>
      <c r="E351" t="s">
        <v>79</v>
      </c>
    </row>
    <row r="352" spans="2:5" x14ac:dyDescent="0.45">
      <c r="B352">
        <v>91</v>
      </c>
      <c r="C352">
        <v>3</v>
      </c>
      <c r="D352" t="b">
        <v>0</v>
      </c>
      <c r="E352" t="s">
        <v>77</v>
      </c>
    </row>
    <row r="353" spans="2:5" x14ac:dyDescent="0.45">
      <c r="B353">
        <v>91</v>
      </c>
      <c r="C353">
        <v>4</v>
      </c>
      <c r="D353" t="b">
        <v>0</v>
      </c>
      <c r="E353" t="s">
        <v>77</v>
      </c>
    </row>
    <row r="354" spans="2:5" x14ac:dyDescent="0.45">
      <c r="B354">
        <v>91</v>
      </c>
      <c r="C354">
        <v>5</v>
      </c>
      <c r="D354" t="b">
        <v>1</v>
      </c>
      <c r="E354" t="s">
        <v>77</v>
      </c>
    </row>
    <row r="355" spans="2:5" x14ac:dyDescent="0.45">
      <c r="B355">
        <v>92</v>
      </c>
      <c r="C355">
        <v>0</v>
      </c>
      <c r="D355" t="b">
        <v>0</v>
      </c>
      <c r="E355" t="s">
        <v>79</v>
      </c>
    </row>
    <row r="356" spans="2:5" x14ac:dyDescent="0.45">
      <c r="B356">
        <v>92</v>
      </c>
      <c r="C356">
        <v>1</v>
      </c>
      <c r="D356" t="b">
        <v>0</v>
      </c>
      <c r="E356" t="s">
        <v>77</v>
      </c>
    </row>
    <row r="357" spans="2:5" x14ac:dyDescent="0.45">
      <c r="B357">
        <v>92</v>
      </c>
      <c r="C357">
        <v>2</v>
      </c>
      <c r="D357" t="b">
        <v>0</v>
      </c>
      <c r="E357" t="s">
        <v>77</v>
      </c>
    </row>
    <row r="358" spans="2:5" x14ac:dyDescent="0.45">
      <c r="B358">
        <v>92</v>
      </c>
      <c r="C358">
        <v>3</v>
      </c>
      <c r="D358" t="b">
        <v>0</v>
      </c>
      <c r="E358" t="s">
        <v>80</v>
      </c>
    </row>
    <row r="359" spans="2:5" x14ac:dyDescent="0.45">
      <c r="B359">
        <v>92</v>
      </c>
      <c r="C359">
        <v>4</v>
      </c>
      <c r="D359" t="b">
        <v>1</v>
      </c>
      <c r="E359" t="s">
        <v>77</v>
      </c>
    </row>
    <row r="360" spans="2:5" x14ac:dyDescent="0.45">
      <c r="B360">
        <v>93</v>
      </c>
      <c r="D360" t="b">
        <v>0</v>
      </c>
      <c r="E360" t="s">
        <v>77</v>
      </c>
    </row>
    <row r="361" spans="2:5" x14ac:dyDescent="0.45">
      <c r="B361">
        <v>94</v>
      </c>
      <c r="C361">
        <v>0</v>
      </c>
      <c r="D361" t="b">
        <v>0</v>
      </c>
      <c r="E361" t="s">
        <v>77</v>
      </c>
    </row>
    <row r="362" spans="2:5" x14ac:dyDescent="0.45">
      <c r="B362">
        <v>94</v>
      </c>
      <c r="C362">
        <v>1</v>
      </c>
      <c r="D362" t="b">
        <v>0</v>
      </c>
      <c r="E362" t="s">
        <v>77</v>
      </c>
    </row>
    <row r="363" spans="2:5" x14ac:dyDescent="0.45">
      <c r="B363">
        <v>94</v>
      </c>
      <c r="C363">
        <v>2</v>
      </c>
      <c r="D363" t="b">
        <v>0</v>
      </c>
      <c r="E363" t="s">
        <v>77</v>
      </c>
    </row>
    <row r="364" spans="2:5" x14ac:dyDescent="0.45">
      <c r="B364">
        <v>94</v>
      </c>
      <c r="C364">
        <v>3</v>
      </c>
      <c r="D364" t="b">
        <v>0</v>
      </c>
      <c r="E364" t="s">
        <v>77</v>
      </c>
    </row>
    <row r="365" spans="2:5" x14ac:dyDescent="0.45">
      <c r="B365">
        <v>94</v>
      </c>
      <c r="C365">
        <v>4</v>
      </c>
      <c r="D365" t="b">
        <v>0</v>
      </c>
      <c r="E365" t="s">
        <v>77</v>
      </c>
    </row>
    <row r="366" spans="2:5" x14ac:dyDescent="0.45">
      <c r="B366">
        <v>94</v>
      </c>
      <c r="C366">
        <v>5</v>
      </c>
      <c r="D366" t="b">
        <v>1</v>
      </c>
      <c r="E366" t="s">
        <v>77</v>
      </c>
    </row>
    <row r="367" spans="2:5" x14ac:dyDescent="0.45">
      <c r="B367">
        <v>95</v>
      </c>
      <c r="C367">
        <v>0</v>
      </c>
      <c r="D367" t="b">
        <v>0</v>
      </c>
      <c r="E367" t="s">
        <v>77</v>
      </c>
    </row>
    <row r="368" spans="2:5" x14ac:dyDescent="0.45">
      <c r="B368">
        <v>95</v>
      </c>
      <c r="C368">
        <v>1</v>
      </c>
      <c r="D368" t="b">
        <v>1</v>
      </c>
      <c r="E368" t="s">
        <v>77</v>
      </c>
    </row>
    <row r="369" spans="2:5" x14ac:dyDescent="0.45">
      <c r="B369">
        <v>96</v>
      </c>
      <c r="D369" t="b">
        <v>1</v>
      </c>
      <c r="E369" t="s">
        <v>77</v>
      </c>
    </row>
    <row r="370" spans="2:5" x14ac:dyDescent="0.45">
      <c r="B370">
        <v>97</v>
      </c>
      <c r="C370">
        <v>0</v>
      </c>
      <c r="D370" t="b">
        <v>0</v>
      </c>
      <c r="E370" t="s">
        <v>76</v>
      </c>
    </row>
    <row r="371" spans="2:5" x14ac:dyDescent="0.45">
      <c r="B371">
        <v>97</v>
      </c>
      <c r="C371">
        <v>1</v>
      </c>
      <c r="D371" t="b">
        <v>0</v>
      </c>
      <c r="E371" t="s">
        <v>79</v>
      </c>
    </row>
    <row r="372" spans="2:5" x14ac:dyDescent="0.45">
      <c r="B372">
        <v>97</v>
      </c>
      <c r="C372">
        <v>2</v>
      </c>
      <c r="D372" t="b">
        <v>0</v>
      </c>
      <c r="E372" t="s">
        <v>77</v>
      </c>
    </row>
    <row r="373" spans="2:5" x14ac:dyDescent="0.45">
      <c r="B373">
        <v>97</v>
      </c>
      <c r="C373">
        <v>3</v>
      </c>
      <c r="D373" t="b">
        <v>1</v>
      </c>
      <c r="E373" t="s">
        <v>77</v>
      </c>
    </row>
    <row r="374" spans="2:5" x14ac:dyDescent="0.45">
      <c r="B374">
        <v>98</v>
      </c>
      <c r="C374">
        <v>0</v>
      </c>
      <c r="D374" t="b">
        <v>1</v>
      </c>
      <c r="E374" t="s">
        <v>77</v>
      </c>
    </row>
    <row r="375" spans="2:5" x14ac:dyDescent="0.45">
      <c r="B375">
        <v>99</v>
      </c>
      <c r="C375">
        <v>0</v>
      </c>
      <c r="D375" t="b">
        <v>1</v>
      </c>
      <c r="E375" t="s">
        <v>77</v>
      </c>
    </row>
    <row r="376" spans="2:5" x14ac:dyDescent="0.45">
      <c r="B376">
        <v>100</v>
      </c>
      <c r="C376">
        <v>0</v>
      </c>
      <c r="D376" t="b">
        <v>0</v>
      </c>
      <c r="E376" t="s">
        <v>77</v>
      </c>
    </row>
    <row r="377" spans="2:5" x14ac:dyDescent="0.45">
      <c r="B377">
        <v>100</v>
      </c>
      <c r="C377">
        <v>1</v>
      </c>
      <c r="D377" t="b">
        <v>0</v>
      </c>
      <c r="E377" t="s">
        <v>77</v>
      </c>
    </row>
    <row r="378" spans="2:5" x14ac:dyDescent="0.45">
      <c r="B378">
        <v>100</v>
      </c>
      <c r="C378">
        <v>2</v>
      </c>
      <c r="D378" t="b">
        <v>0</v>
      </c>
      <c r="E378" t="s">
        <v>77</v>
      </c>
    </row>
    <row r="379" spans="2:5" x14ac:dyDescent="0.45">
      <c r="B379">
        <v>100</v>
      </c>
      <c r="C379">
        <v>3</v>
      </c>
      <c r="D379" t="b">
        <v>0</v>
      </c>
      <c r="E379" t="s">
        <v>77</v>
      </c>
    </row>
    <row r="380" spans="2:5" x14ac:dyDescent="0.45">
      <c r="B380">
        <v>100</v>
      </c>
      <c r="C380">
        <v>4</v>
      </c>
      <c r="D380" t="b">
        <v>1</v>
      </c>
      <c r="E380" t="s">
        <v>77</v>
      </c>
    </row>
  </sheetData>
  <pageMargins left="0.7" right="0.7" top="0.75" bottom="0.75" header="0.3" footer="0.3"/>
  <headerFooter>
    <oddFooter>&amp;C_x000D_&amp;1#&amp;"Calibri"&amp;10&amp;K000000 OFFICIAL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D395-D2AE-4DC2-A81F-1644385CDC3B}">
  <dimension ref="B2:E380"/>
  <sheetViews>
    <sheetView workbookViewId="0">
      <selection activeCell="F351" sqref="F351"/>
    </sheetView>
  </sheetViews>
  <sheetFormatPr defaultRowHeight="14.25" x14ac:dyDescent="0.45"/>
  <cols>
    <col min="1" max="1" width="4.19921875" customWidth="1"/>
    <col min="2" max="2" width="13" bestFit="1" customWidth="1"/>
    <col min="3" max="3" width="8.265625" bestFit="1" customWidth="1"/>
    <col min="4" max="4" width="15.46484375" bestFit="1" customWidth="1"/>
    <col min="5" max="6" width="37.46484375" bestFit="1" customWidth="1"/>
  </cols>
  <sheetData>
    <row r="2" spans="2:5" x14ac:dyDescent="0.45">
      <c r="B2" t="s">
        <v>4</v>
      </c>
      <c r="C2" t="s">
        <v>74</v>
      </c>
      <c r="D2" t="s">
        <v>5</v>
      </c>
      <c r="E2" t="s">
        <v>75</v>
      </c>
    </row>
    <row r="3" spans="2:5" x14ac:dyDescent="0.45">
      <c r="B3">
        <v>1</v>
      </c>
      <c r="C3">
        <v>0</v>
      </c>
      <c r="D3" t="b">
        <v>0</v>
      </c>
      <c r="E3" t="s">
        <v>79</v>
      </c>
    </row>
    <row r="4" spans="2:5" hidden="1" x14ac:dyDescent="0.45">
      <c r="B4">
        <v>1</v>
      </c>
      <c r="C4">
        <v>1</v>
      </c>
      <c r="D4" t="b">
        <v>0</v>
      </c>
      <c r="E4" t="s">
        <v>76</v>
      </c>
    </row>
    <row r="5" spans="2:5" hidden="1" x14ac:dyDescent="0.45">
      <c r="B5">
        <v>1</v>
      </c>
      <c r="C5">
        <v>2</v>
      </c>
      <c r="D5" t="b">
        <v>0</v>
      </c>
      <c r="E5" t="s">
        <v>78</v>
      </c>
    </row>
    <row r="6" spans="2:5" x14ac:dyDescent="0.45">
      <c r="B6">
        <v>1</v>
      </c>
      <c r="C6">
        <v>3</v>
      </c>
      <c r="D6" t="b">
        <v>0</v>
      </c>
      <c r="E6" t="s">
        <v>79</v>
      </c>
    </row>
    <row r="7" spans="2:5" x14ac:dyDescent="0.45">
      <c r="B7">
        <v>1</v>
      </c>
      <c r="C7">
        <v>4</v>
      </c>
      <c r="D7" t="b">
        <v>0</v>
      </c>
      <c r="E7" t="s">
        <v>79</v>
      </c>
    </row>
    <row r="8" spans="2:5" hidden="1" x14ac:dyDescent="0.45">
      <c r="B8">
        <v>1</v>
      </c>
      <c r="C8">
        <v>5</v>
      </c>
      <c r="D8" t="b">
        <v>0</v>
      </c>
      <c r="E8" t="s">
        <v>76</v>
      </c>
    </row>
    <row r="9" spans="2:5" hidden="1" x14ac:dyDescent="0.45">
      <c r="B9">
        <v>1</v>
      </c>
      <c r="C9">
        <v>6</v>
      </c>
      <c r="D9" t="b">
        <v>0</v>
      </c>
      <c r="E9" t="s">
        <v>78</v>
      </c>
    </row>
    <row r="10" spans="2:5" hidden="1" x14ac:dyDescent="0.45">
      <c r="B10">
        <v>2</v>
      </c>
      <c r="C10">
        <v>0</v>
      </c>
      <c r="D10" t="b">
        <v>0</v>
      </c>
      <c r="E10" t="s">
        <v>78</v>
      </c>
    </row>
    <row r="11" spans="2:5" hidden="1" x14ac:dyDescent="0.45">
      <c r="B11">
        <v>2</v>
      </c>
      <c r="C11">
        <v>1</v>
      </c>
      <c r="D11" t="b">
        <v>0</v>
      </c>
      <c r="E11" t="s">
        <v>78</v>
      </c>
    </row>
    <row r="12" spans="2:5" x14ac:dyDescent="0.45">
      <c r="B12">
        <v>2</v>
      </c>
      <c r="C12">
        <v>2</v>
      </c>
      <c r="D12" t="b">
        <v>0</v>
      </c>
      <c r="E12" t="s">
        <v>79</v>
      </c>
    </row>
    <row r="13" spans="2:5" hidden="1" x14ac:dyDescent="0.45">
      <c r="B13">
        <v>2</v>
      </c>
      <c r="C13">
        <v>3</v>
      </c>
      <c r="D13" t="b">
        <v>0</v>
      </c>
      <c r="E13" t="s">
        <v>81</v>
      </c>
    </row>
    <row r="14" spans="2:5" hidden="1" x14ac:dyDescent="0.45">
      <c r="B14">
        <v>2</v>
      </c>
      <c r="C14">
        <v>4</v>
      </c>
      <c r="D14" t="b">
        <v>1</v>
      </c>
      <c r="E14" t="s">
        <v>77</v>
      </c>
    </row>
    <row r="15" spans="2:5" hidden="1" x14ac:dyDescent="0.45">
      <c r="B15">
        <v>3</v>
      </c>
      <c r="C15">
        <v>0</v>
      </c>
      <c r="D15" t="b">
        <v>0</v>
      </c>
      <c r="E15" t="s">
        <v>81</v>
      </c>
    </row>
    <row r="16" spans="2:5" hidden="1" x14ac:dyDescent="0.45">
      <c r="B16">
        <v>3</v>
      </c>
      <c r="C16">
        <v>1</v>
      </c>
      <c r="D16" t="b">
        <v>1</v>
      </c>
      <c r="E16" t="s">
        <v>77</v>
      </c>
    </row>
    <row r="17" spans="2:5" hidden="1" x14ac:dyDescent="0.45">
      <c r="B17">
        <v>4</v>
      </c>
      <c r="C17">
        <v>0</v>
      </c>
      <c r="D17" t="b">
        <v>0</v>
      </c>
      <c r="E17" t="s">
        <v>78</v>
      </c>
    </row>
    <row r="18" spans="2:5" hidden="1" x14ac:dyDescent="0.45">
      <c r="B18">
        <v>4</v>
      </c>
      <c r="C18">
        <v>1</v>
      </c>
      <c r="D18" t="b">
        <v>0</v>
      </c>
      <c r="E18" t="s">
        <v>80</v>
      </c>
    </row>
    <row r="19" spans="2:5" hidden="1" x14ac:dyDescent="0.45">
      <c r="B19">
        <v>4</v>
      </c>
      <c r="C19">
        <v>2</v>
      </c>
      <c r="D19" t="b">
        <v>0</v>
      </c>
      <c r="E19" t="s">
        <v>81</v>
      </c>
    </row>
    <row r="20" spans="2:5" x14ac:dyDescent="0.45">
      <c r="B20">
        <v>5</v>
      </c>
      <c r="C20">
        <v>0</v>
      </c>
      <c r="D20" t="b">
        <v>0</v>
      </c>
      <c r="E20" t="s">
        <v>79</v>
      </c>
    </row>
    <row r="21" spans="2:5" hidden="1" x14ac:dyDescent="0.45">
      <c r="B21">
        <v>5</v>
      </c>
      <c r="C21">
        <v>1</v>
      </c>
      <c r="D21" t="b">
        <v>0</v>
      </c>
      <c r="E21" t="s">
        <v>78</v>
      </c>
    </row>
    <row r="22" spans="2:5" x14ac:dyDescent="0.45">
      <c r="B22">
        <v>5</v>
      </c>
      <c r="C22">
        <v>2</v>
      </c>
      <c r="D22" t="b">
        <v>0</v>
      </c>
      <c r="E22" t="s">
        <v>79</v>
      </c>
    </row>
    <row r="23" spans="2:5" x14ac:dyDescent="0.45">
      <c r="B23">
        <v>5</v>
      </c>
      <c r="C23">
        <v>3</v>
      </c>
      <c r="D23" t="b">
        <v>0</v>
      </c>
      <c r="E23" t="s">
        <v>79</v>
      </c>
    </row>
    <row r="24" spans="2:5" hidden="1" x14ac:dyDescent="0.45">
      <c r="B24">
        <v>5</v>
      </c>
      <c r="C24">
        <v>4</v>
      </c>
      <c r="D24" t="b">
        <v>0</v>
      </c>
      <c r="E24" t="s">
        <v>78</v>
      </c>
    </row>
    <row r="25" spans="2:5" hidden="1" x14ac:dyDescent="0.45">
      <c r="B25">
        <v>5</v>
      </c>
      <c r="C25">
        <v>5</v>
      </c>
      <c r="D25" t="b">
        <v>1</v>
      </c>
      <c r="E25" t="s">
        <v>77</v>
      </c>
    </row>
    <row r="26" spans="2:5" hidden="1" x14ac:dyDescent="0.45">
      <c r="B26">
        <v>6</v>
      </c>
      <c r="C26">
        <v>0</v>
      </c>
      <c r="D26" t="b">
        <v>0</v>
      </c>
      <c r="E26" t="s">
        <v>81</v>
      </c>
    </row>
    <row r="27" spans="2:5" hidden="1" x14ac:dyDescent="0.45">
      <c r="B27">
        <v>6</v>
      </c>
      <c r="C27">
        <v>1</v>
      </c>
      <c r="D27" t="b">
        <v>0</v>
      </c>
      <c r="E27" t="s">
        <v>78</v>
      </c>
    </row>
    <row r="28" spans="2:5" x14ac:dyDescent="0.45">
      <c r="B28">
        <v>6</v>
      </c>
      <c r="C28">
        <v>2</v>
      </c>
      <c r="D28" t="b">
        <v>0</v>
      </c>
      <c r="E28" t="s">
        <v>79</v>
      </c>
    </row>
    <row r="29" spans="2:5" x14ac:dyDescent="0.45">
      <c r="B29">
        <v>6</v>
      </c>
      <c r="C29">
        <v>3</v>
      </c>
      <c r="D29" t="b">
        <v>0</v>
      </c>
      <c r="E29" t="s">
        <v>79</v>
      </c>
    </row>
    <row r="30" spans="2:5" hidden="1" x14ac:dyDescent="0.45">
      <c r="B30">
        <v>7</v>
      </c>
      <c r="C30">
        <v>0</v>
      </c>
      <c r="D30" t="b">
        <v>0</v>
      </c>
      <c r="E30" t="s">
        <v>80</v>
      </c>
    </row>
    <row r="31" spans="2:5" hidden="1" x14ac:dyDescent="0.45">
      <c r="B31">
        <v>7</v>
      </c>
      <c r="C31">
        <v>1</v>
      </c>
      <c r="D31" t="b">
        <v>0</v>
      </c>
      <c r="E31" t="s">
        <v>81</v>
      </c>
    </row>
    <row r="32" spans="2:5" x14ac:dyDescent="0.45">
      <c r="B32">
        <v>8</v>
      </c>
      <c r="C32">
        <v>0</v>
      </c>
      <c r="D32" t="b">
        <v>0</v>
      </c>
      <c r="E32" t="s">
        <v>79</v>
      </c>
    </row>
    <row r="33" spans="2:5" hidden="1" x14ac:dyDescent="0.45">
      <c r="B33">
        <v>8</v>
      </c>
      <c r="C33">
        <v>1</v>
      </c>
      <c r="D33" t="b">
        <v>0</v>
      </c>
      <c r="E33" t="s">
        <v>78</v>
      </c>
    </row>
    <row r="34" spans="2:5" x14ac:dyDescent="0.45">
      <c r="B34">
        <v>8</v>
      </c>
      <c r="C34">
        <v>2</v>
      </c>
      <c r="D34" t="b">
        <v>0</v>
      </c>
      <c r="E34" t="s">
        <v>79</v>
      </c>
    </row>
    <row r="35" spans="2:5" hidden="1" x14ac:dyDescent="0.45">
      <c r="B35">
        <v>8</v>
      </c>
      <c r="C35">
        <v>3</v>
      </c>
      <c r="D35" t="b">
        <v>0</v>
      </c>
      <c r="E35" t="s">
        <v>78</v>
      </c>
    </row>
    <row r="36" spans="2:5" hidden="1" x14ac:dyDescent="0.45">
      <c r="B36">
        <v>8</v>
      </c>
      <c r="C36">
        <v>4</v>
      </c>
      <c r="D36" t="b">
        <v>0</v>
      </c>
      <c r="E36" t="s">
        <v>78</v>
      </c>
    </row>
    <row r="37" spans="2:5" hidden="1" x14ac:dyDescent="0.45">
      <c r="B37">
        <v>8</v>
      </c>
      <c r="C37">
        <v>5</v>
      </c>
      <c r="D37" t="b">
        <v>0</v>
      </c>
      <c r="E37" t="s">
        <v>78</v>
      </c>
    </row>
    <row r="38" spans="2:5" hidden="1" x14ac:dyDescent="0.45">
      <c r="B38">
        <v>9</v>
      </c>
      <c r="C38">
        <v>0</v>
      </c>
      <c r="D38" t="b">
        <v>0</v>
      </c>
      <c r="E38" t="s">
        <v>78</v>
      </c>
    </row>
    <row r="39" spans="2:5" x14ac:dyDescent="0.45">
      <c r="B39">
        <v>9</v>
      </c>
      <c r="C39">
        <v>1</v>
      </c>
      <c r="D39" t="b">
        <v>0</v>
      </c>
      <c r="E39" t="s">
        <v>79</v>
      </c>
    </row>
    <row r="40" spans="2:5" hidden="1" x14ac:dyDescent="0.45">
      <c r="B40">
        <v>9</v>
      </c>
      <c r="C40">
        <v>2</v>
      </c>
      <c r="D40" t="b">
        <v>1</v>
      </c>
      <c r="E40" t="s">
        <v>77</v>
      </c>
    </row>
    <row r="41" spans="2:5" x14ac:dyDescent="0.45">
      <c r="B41">
        <v>10</v>
      </c>
      <c r="C41">
        <v>0</v>
      </c>
      <c r="D41" t="b">
        <v>0</v>
      </c>
      <c r="E41" t="s">
        <v>79</v>
      </c>
    </row>
    <row r="42" spans="2:5" hidden="1" x14ac:dyDescent="0.45">
      <c r="B42">
        <v>10</v>
      </c>
      <c r="C42">
        <v>1</v>
      </c>
      <c r="D42" t="b">
        <v>0</v>
      </c>
      <c r="E42" t="s">
        <v>80</v>
      </c>
    </row>
    <row r="43" spans="2:5" hidden="1" x14ac:dyDescent="0.45">
      <c r="B43">
        <v>10</v>
      </c>
      <c r="C43">
        <v>2</v>
      </c>
      <c r="D43" t="b">
        <v>0</v>
      </c>
      <c r="E43" t="s">
        <v>76</v>
      </c>
    </row>
    <row r="44" spans="2:5" x14ac:dyDescent="0.45">
      <c r="B44">
        <v>10</v>
      </c>
      <c r="C44">
        <v>3</v>
      </c>
      <c r="D44" t="b">
        <v>0</v>
      </c>
      <c r="E44" t="s">
        <v>79</v>
      </c>
    </row>
    <row r="45" spans="2:5" hidden="1" x14ac:dyDescent="0.45">
      <c r="B45">
        <v>10</v>
      </c>
      <c r="C45">
        <v>4</v>
      </c>
      <c r="D45" t="b">
        <v>0</v>
      </c>
      <c r="E45" t="s">
        <v>78</v>
      </c>
    </row>
    <row r="46" spans="2:5" hidden="1" x14ac:dyDescent="0.45">
      <c r="B46">
        <v>10</v>
      </c>
      <c r="C46">
        <v>5</v>
      </c>
      <c r="D46" t="b">
        <v>1</v>
      </c>
      <c r="E46" t="s">
        <v>77</v>
      </c>
    </row>
    <row r="47" spans="2:5" hidden="1" x14ac:dyDescent="0.45">
      <c r="B47">
        <v>11</v>
      </c>
      <c r="C47">
        <v>0</v>
      </c>
      <c r="D47" t="b">
        <v>0</v>
      </c>
      <c r="E47" t="s">
        <v>78</v>
      </c>
    </row>
    <row r="48" spans="2:5" hidden="1" x14ac:dyDescent="0.45">
      <c r="B48">
        <v>11</v>
      </c>
      <c r="C48">
        <v>1</v>
      </c>
      <c r="D48" t="b">
        <v>0</v>
      </c>
      <c r="E48" t="s">
        <v>78</v>
      </c>
    </row>
    <row r="49" spans="2:5" hidden="1" x14ac:dyDescent="0.45">
      <c r="B49">
        <v>11</v>
      </c>
      <c r="C49">
        <v>2</v>
      </c>
      <c r="D49" t="b">
        <v>0</v>
      </c>
      <c r="E49" t="s">
        <v>80</v>
      </c>
    </row>
    <row r="50" spans="2:5" hidden="1" x14ac:dyDescent="0.45">
      <c r="B50">
        <v>11</v>
      </c>
      <c r="C50">
        <v>3</v>
      </c>
      <c r="D50" t="b">
        <v>0</v>
      </c>
      <c r="E50" t="s">
        <v>76</v>
      </c>
    </row>
    <row r="51" spans="2:5" x14ac:dyDescent="0.45">
      <c r="B51">
        <v>11</v>
      </c>
      <c r="C51">
        <v>4</v>
      </c>
      <c r="D51" t="b">
        <v>0</v>
      </c>
      <c r="E51" t="s">
        <v>79</v>
      </c>
    </row>
    <row r="52" spans="2:5" hidden="1" x14ac:dyDescent="0.45">
      <c r="B52">
        <v>12</v>
      </c>
      <c r="C52">
        <v>0</v>
      </c>
      <c r="D52" t="b">
        <v>1</v>
      </c>
      <c r="E52" t="s">
        <v>77</v>
      </c>
    </row>
    <row r="53" spans="2:5" x14ac:dyDescent="0.45">
      <c r="B53">
        <v>13</v>
      </c>
      <c r="C53">
        <v>0</v>
      </c>
      <c r="D53" t="b">
        <v>0</v>
      </c>
      <c r="E53" t="s">
        <v>79</v>
      </c>
    </row>
    <row r="54" spans="2:5" x14ac:dyDescent="0.45">
      <c r="B54">
        <v>13</v>
      </c>
      <c r="C54">
        <v>1</v>
      </c>
      <c r="D54" t="b">
        <v>0</v>
      </c>
      <c r="E54" t="s">
        <v>79</v>
      </c>
    </row>
    <row r="55" spans="2:5" hidden="1" x14ac:dyDescent="0.45">
      <c r="B55">
        <v>13</v>
      </c>
      <c r="C55">
        <v>2</v>
      </c>
      <c r="D55" t="b">
        <v>0</v>
      </c>
      <c r="E55" t="s">
        <v>81</v>
      </c>
    </row>
    <row r="56" spans="2:5" x14ac:dyDescent="0.45">
      <c r="B56">
        <v>14</v>
      </c>
      <c r="C56">
        <v>0</v>
      </c>
      <c r="D56" t="b">
        <v>0</v>
      </c>
      <c r="E56" t="s">
        <v>79</v>
      </c>
    </row>
    <row r="57" spans="2:5" hidden="1" x14ac:dyDescent="0.45">
      <c r="B57">
        <v>14</v>
      </c>
      <c r="C57">
        <v>1</v>
      </c>
      <c r="D57" t="b">
        <v>0</v>
      </c>
      <c r="E57" t="s">
        <v>81</v>
      </c>
    </row>
    <row r="58" spans="2:5" x14ac:dyDescent="0.45">
      <c r="B58">
        <v>14</v>
      </c>
      <c r="C58">
        <v>2</v>
      </c>
      <c r="D58" t="b">
        <v>0</v>
      </c>
      <c r="E58" t="s">
        <v>79</v>
      </c>
    </row>
    <row r="59" spans="2:5" x14ac:dyDescent="0.45">
      <c r="B59">
        <v>14</v>
      </c>
      <c r="C59">
        <v>3</v>
      </c>
      <c r="D59" t="b">
        <v>0</v>
      </c>
      <c r="E59" t="s">
        <v>79</v>
      </c>
    </row>
    <row r="60" spans="2:5" hidden="1" x14ac:dyDescent="0.45">
      <c r="B60">
        <v>14</v>
      </c>
      <c r="C60">
        <v>4</v>
      </c>
      <c r="D60" t="b">
        <v>0</v>
      </c>
      <c r="E60" t="s">
        <v>76</v>
      </c>
    </row>
    <row r="61" spans="2:5" hidden="1" x14ac:dyDescent="0.45">
      <c r="B61">
        <v>14</v>
      </c>
      <c r="C61">
        <v>5</v>
      </c>
      <c r="D61" t="b">
        <v>1</v>
      </c>
      <c r="E61" t="s">
        <v>77</v>
      </c>
    </row>
    <row r="62" spans="2:5" hidden="1" x14ac:dyDescent="0.45">
      <c r="B62">
        <v>15</v>
      </c>
      <c r="C62">
        <v>0</v>
      </c>
      <c r="D62" t="b">
        <v>0</v>
      </c>
      <c r="E62" t="s">
        <v>81</v>
      </c>
    </row>
    <row r="63" spans="2:5" x14ac:dyDescent="0.45">
      <c r="B63">
        <v>15</v>
      </c>
      <c r="C63">
        <v>1</v>
      </c>
      <c r="D63" t="b">
        <v>0</v>
      </c>
      <c r="E63" t="s">
        <v>79</v>
      </c>
    </row>
    <row r="64" spans="2:5" hidden="1" x14ac:dyDescent="0.45">
      <c r="B64">
        <v>15</v>
      </c>
      <c r="C64">
        <v>2</v>
      </c>
      <c r="D64" t="b">
        <v>0</v>
      </c>
      <c r="E64" t="s">
        <v>81</v>
      </c>
    </row>
    <row r="65" spans="2:5" x14ac:dyDescent="0.45">
      <c r="B65">
        <v>15</v>
      </c>
      <c r="C65">
        <v>3</v>
      </c>
      <c r="D65" t="b">
        <v>0</v>
      </c>
      <c r="E65" t="s">
        <v>79</v>
      </c>
    </row>
    <row r="66" spans="2:5" hidden="1" x14ac:dyDescent="0.45">
      <c r="B66">
        <v>15</v>
      </c>
      <c r="C66">
        <v>4</v>
      </c>
      <c r="D66" t="b">
        <v>1</v>
      </c>
      <c r="E66" t="s">
        <v>77</v>
      </c>
    </row>
    <row r="67" spans="2:5" hidden="1" x14ac:dyDescent="0.45">
      <c r="B67">
        <v>16</v>
      </c>
      <c r="C67">
        <v>0</v>
      </c>
      <c r="D67" t="b">
        <v>0</v>
      </c>
      <c r="E67" t="s">
        <v>81</v>
      </c>
    </row>
    <row r="68" spans="2:5" hidden="1" x14ac:dyDescent="0.45">
      <c r="B68">
        <v>16</v>
      </c>
      <c r="C68">
        <v>1</v>
      </c>
      <c r="D68" t="b">
        <v>0</v>
      </c>
      <c r="E68" t="s">
        <v>76</v>
      </c>
    </row>
    <row r="69" spans="2:5" hidden="1" x14ac:dyDescent="0.45">
      <c r="B69">
        <v>16</v>
      </c>
      <c r="C69">
        <v>2</v>
      </c>
      <c r="D69" t="b">
        <v>1</v>
      </c>
      <c r="E69" t="s">
        <v>77</v>
      </c>
    </row>
    <row r="70" spans="2:5" x14ac:dyDescent="0.45">
      <c r="B70">
        <v>17</v>
      </c>
      <c r="C70">
        <v>0</v>
      </c>
      <c r="D70" t="b">
        <v>0</v>
      </c>
      <c r="E70" t="s">
        <v>79</v>
      </c>
    </row>
    <row r="71" spans="2:5" hidden="1" x14ac:dyDescent="0.45">
      <c r="B71">
        <v>17</v>
      </c>
      <c r="C71">
        <v>1</v>
      </c>
      <c r="D71" t="b">
        <v>0</v>
      </c>
      <c r="E71" t="s">
        <v>78</v>
      </c>
    </row>
    <row r="72" spans="2:5" x14ac:dyDescent="0.45">
      <c r="B72">
        <v>17</v>
      </c>
      <c r="C72">
        <v>2</v>
      </c>
      <c r="D72" t="b">
        <v>0</v>
      </c>
      <c r="E72" t="s">
        <v>79</v>
      </c>
    </row>
    <row r="73" spans="2:5" hidden="1" x14ac:dyDescent="0.45">
      <c r="B73">
        <v>17</v>
      </c>
      <c r="C73">
        <v>3</v>
      </c>
      <c r="D73" t="b">
        <v>1</v>
      </c>
      <c r="E73" t="s">
        <v>77</v>
      </c>
    </row>
    <row r="74" spans="2:5" hidden="1" x14ac:dyDescent="0.45">
      <c r="B74">
        <v>18</v>
      </c>
      <c r="D74" t="b">
        <v>1</v>
      </c>
      <c r="E74" t="s">
        <v>77</v>
      </c>
    </row>
    <row r="75" spans="2:5" x14ac:dyDescent="0.45">
      <c r="B75">
        <v>19</v>
      </c>
      <c r="C75">
        <v>0</v>
      </c>
      <c r="D75" t="b">
        <v>0</v>
      </c>
      <c r="E75" t="s">
        <v>79</v>
      </c>
    </row>
    <row r="76" spans="2:5" x14ac:dyDescent="0.45">
      <c r="B76">
        <v>19</v>
      </c>
      <c r="C76">
        <v>1</v>
      </c>
      <c r="D76" t="b">
        <v>0</v>
      </c>
      <c r="E76" t="s">
        <v>79</v>
      </c>
    </row>
    <row r="77" spans="2:5" hidden="1" x14ac:dyDescent="0.45">
      <c r="B77">
        <v>19</v>
      </c>
      <c r="C77">
        <v>2</v>
      </c>
      <c r="D77" t="b">
        <v>1</v>
      </c>
      <c r="E77" t="s">
        <v>77</v>
      </c>
    </row>
    <row r="78" spans="2:5" hidden="1" x14ac:dyDescent="0.45">
      <c r="B78">
        <v>20</v>
      </c>
      <c r="C78">
        <v>0</v>
      </c>
      <c r="D78" t="b">
        <v>0</v>
      </c>
      <c r="E78" t="s">
        <v>78</v>
      </c>
    </row>
    <row r="79" spans="2:5" hidden="1" x14ac:dyDescent="0.45">
      <c r="B79">
        <v>20</v>
      </c>
      <c r="C79">
        <v>1</v>
      </c>
      <c r="D79" t="b">
        <v>0</v>
      </c>
      <c r="E79" t="s">
        <v>78</v>
      </c>
    </row>
    <row r="80" spans="2:5" hidden="1" x14ac:dyDescent="0.45">
      <c r="B80">
        <v>20</v>
      </c>
      <c r="C80">
        <v>2</v>
      </c>
      <c r="D80" t="b">
        <v>0</v>
      </c>
      <c r="E80" t="s">
        <v>76</v>
      </c>
    </row>
    <row r="81" spans="2:5" hidden="1" x14ac:dyDescent="0.45">
      <c r="B81">
        <v>20</v>
      </c>
      <c r="C81">
        <v>3</v>
      </c>
      <c r="D81" t="b">
        <v>1</v>
      </c>
      <c r="E81" t="s">
        <v>77</v>
      </c>
    </row>
    <row r="82" spans="2:5" hidden="1" x14ac:dyDescent="0.45">
      <c r="B82">
        <v>21</v>
      </c>
      <c r="C82">
        <v>0</v>
      </c>
      <c r="D82" t="b">
        <v>0</v>
      </c>
      <c r="E82" t="s">
        <v>78</v>
      </c>
    </row>
    <row r="83" spans="2:5" hidden="1" x14ac:dyDescent="0.45">
      <c r="B83">
        <v>21</v>
      </c>
      <c r="C83">
        <v>1</v>
      </c>
      <c r="D83" t="b">
        <v>0</v>
      </c>
      <c r="E83" t="s">
        <v>76</v>
      </c>
    </row>
    <row r="84" spans="2:5" x14ac:dyDescent="0.45">
      <c r="B84">
        <v>21</v>
      </c>
      <c r="C84">
        <v>2</v>
      </c>
      <c r="D84" t="b">
        <v>0</v>
      </c>
      <c r="E84" t="s">
        <v>79</v>
      </c>
    </row>
    <row r="85" spans="2:5" hidden="1" x14ac:dyDescent="0.45">
      <c r="B85">
        <v>21</v>
      </c>
      <c r="C85">
        <v>3</v>
      </c>
      <c r="D85" t="b">
        <v>0</v>
      </c>
      <c r="E85" t="s">
        <v>81</v>
      </c>
    </row>
    <row r="86" spans="2:5" hidden="1" x14ac:dyDescent="0.45">
      <c r="B86">
        <v>21</v>
      </c>
      <c r="C86">
        <v>4</v>
      </c>
      <c r="D86" t="b">
        <v>1</v>
      </c>
      <c r="E86" t="s">
        <v>77</v>
      </c>
    </row>
    <row r="87" spans="2:5" hidden="1" x14ac:dyDescent="0.45">
      <c r="B87">
        <v>22</v>
      </c>
      <c r="C87">
        <v>0</v>
      </c>
      <c r="D87" t="b">
        <v>0</v>
      </c>
      <c r="E87" t="s">
        <v>78</v>
      </c>
    </row>
    <row r="88" spans="2:5" x14ac:dyDescent="0.45">
      <c r="B88">
        <v>22</v>
      </c>
      <c r="C88">
        <v>1</v>
      </c>
      <c r="D88" t="b">
        <v>0</v>
      </c>
      <c r="E88" t="s">
        <v>79</v>
      </c>
    </row>
    <row r="89" spans="2:5" x14ac:dyDescent="0.45">
      <c r="B89">
        <v>22</v>
      </c>
      <c r="C89">
        <v>2</v>
      </c>
      <c r="D89" t="b">
        <v>0</v>
      </c>
      <c r="E89" t="s">
        <v>79</v>
      </c>
    </row>
    <row r="90" spans="2:5" hidden="1" x14ac:dyDescent="0.45">
      <c r="B90">
        <v>22</v>
      </c>
      <c r="C90">
        <v>3</v>
      </c>
      <c r="D90" t="b">
        <v>0</v>
      </c>
      <c r="E90" t="s">
        <v>78</v>
      </c>
    </row>
    <row r="91" spans="2:5" x14ac:dyDescent="0.45">
      <c r="B91">
        <v>22</v>
      </c>
      <c r="C91">
        <v>4</v>
      </c>
      <c r="D91" t="b">
        <v>0</v>
      </c>
      <c r="E91" t="s">
        <v>79</v>
      </c>
    </row>
    <row r="92" spans="2:5" x14ac:dyDescent="0.45">
      <c r="B92">
        <v>22</v>
      </c>
      <c r="C92">
        <v>5</v>
      </c>
      <c r="D92" t="b">
        <v>0</v>
      </c>
      <c r="E92" t="s">
        <v>79</v>
      </c>
    </row>
    <row r="93" spans="2:5" hidden="1" x14ac:dyDescent="0.45">
      <c r="B93">
        <v>22</v>
      </c>
      <c r="C93">
        <v>6</v>
      </c>
      <c r="D93" t="b">
        <v>0</v>
      </c>
      <c r="E93" t="s">
        <v>78</v>
      </c>
    </row>
    <row r="94" spans="2:5" hidden="1" x14ac:dyDescent="0.45">
      <c r="B94">
        <v>23</v>
      </c>
      <c r="C94">
        <v>0</v>
      </c>
      <c r="D94" t="b">
        <v>0</v>
      </c>
      <c r="E94" t="s">
        <v>78</v>
      </c>
    </row>
    <row r="95" spans="2:5" hidden="1" x14ac:dyDescent="0.45">
      <c r="B95">
        <v>23</v>
      </c>
      <c r="C95">
        <v>1</v>
      </c>
      <c r="D95" t="b">
        <v>0</v>
      </c>
      <c r="E95" t="s">
        <v>81</v>
      </c>
    </row>
    <row r="96" spans="2:5" hidden="1" x14ac:dyDescent="0.45">
      <c r="B96">
        <v>23</v>
      </c>
      <c r="C96">
        <v>2</v>
      </c>
      <c r="D96" t="b">
        <v>0</v>
      </c>
      <c r="E96" t="s">
        <v>76</v>
      </c>
    </row>
    <row r="97" spans="2:5" x14ac:dyDescent="0.45">
      <c r="B97">
        <v>23</v>
      </c>
      <c r="C97">
        <v>3</v>
      </c>
      <c r="D97" t="b">
        <v>0</v>
      </c>
      <c r="E97" t="s">
        <v>79</v>
      </c>
    </row>
    <row r="98" spans="2:5" hidden="1" x14ac:dyDescent="0.45">
      <c r="B98">
        <v>23</v>
      </c>
      <c r="C98">
        <v>4</v>
      </c>
      <c r="D98" t="b">
        <v>0</v>
      </c>
      <c r="E98" t="s">
        <v>76</v>
      </c>
    </row>
    <row r="99" spans="2:5" x14ac:dyDescent="0.45">
      <c r="B99">
        <v>23</v>
      </c>
      <c r="C99">
        <v>5</v>
      </c>
      <c r="D99" t="b">
        <v>0</v>
      </c>
      <c r="E99" t="s">
        <v>79</v>
      </c>
    </row>
    <row r="100" spans="2:5" hidden="1" x14ac:dyDescent="0.45">
      <c r="B100">
        <v>24</v>
      </c>
      <c r="C100">
        <v>0</v>
      </c>
      <c r="D100" t="b">
        <v>0</v>
      </c>
      <c r="E100" t="s">
        <v>81</v>
      </c>
    </row>
    <row r="101" spans="2:5" x14ac:dyDescent="0.45">
      <c r="B101">
        <v>24</v>
      </c>
      <c r="C101">
        <v>1</v>
      </c>
      <c r="D101" t="b">
        <v>0</v>
      </c>
      <c r="E101" t="s">
        <v>79</v>
      </c>
    </row>
    <row r="102" spans="2:5" hidden="1" x14ac:dyDescent="0.45">
      <c r="B102">
        <v>24</v>
      </c>
      <c r="C102">
        <v>2</v>
      </c>
      <c r="D102" t="b">
        <v>0</v>
      </c>
      <c r="E102" t="s">
        <v>81</v>
      </c>
    </row>
    <row r="103" spans="2:5" hidden="1" x14ac:dyDescent="0.45">
      <c r="B103">
        <v>25</v>
      </c>
      <c r="C103">
        <v>0</v>
      </c>
      <c r="D103" t="b">
        <v>0</v>
      </c>
      <c r="E103" t="s">
        <v>80</v>
      </c>
    </row>
    <row r="104" spans="2:5" x14ac:dyDescent="0.45">
      <c r="B104">
        <v>25</v>
      </c>
      <c r="C104">
        <v>1</v>
      </c>
      <c r="D104" t="b">
        <v>0</v>
      </c>
      <c r="E104" t="s">
        <v>79</v>
      </c>
    </row>
    <row r="105" spans="2:5" hidden="1" x14ac:dyDescent="0.45">
      <c r="B105">
        <v>25</v>
      </c>
      <c r="C105">
        <v>2</v>
      </c>
      <c r="D105" t="b">
        <v>0</v>
      </c>
      <c r="E105" t="s">
        <v>78</v>
      </c>
    </row>
    <row r="106" spans="2:5" hidden="1" x14ac:dyDescent="0.45">
      <c r="B106">
        <v>25</v>
      </c>
      <c r="C106">
        <v>3</v>
      </c>
      <c r="D106" t="b">
        <v>0</v>
      </c>
      <c r="E106" t="s">
        <v>78</v>
      </c>
    </row>
    <row r="107" spans="2:5" x14ac:dyDescent="0.45">
      <c r="B107">
        <v>25</v>
      </c>
      <c r="C107">
        <v>4</v>
      </c>
      <c r="D107" t="b">
        <v>0</v>
      </c>
      <c r="E107" t="s">
        <v>79</v>
      </c>
    </row>
    <row r="108" spans="2:5" hidden="1" x14ac:dyDescent="0.45">
      <c r="B108">
        <v>25</v>
      </c>
      <c r="C108">
        <v>5</v>
      </c>
      <c r="D108" t="b">
        <v>1</v>
      </c>
      <c r="E108" t="s">
        <v>77</v>
      </c>
    </row>
    <row r="109" spans="2:5" x14ac:dyDescent="0.45">
      <c r="B109">
        <v>26</v>
      </c>
      <c r="C109">
        <v>0</v>
      </c>
      <c r="D109" t="b">
        <v>0</v>
      </c>
      <c r="E109" t="s">
        <v>79</v>
      </c>
    </row>
    <row r="110" spans="2:5" hidden="1" x14ac:dyDescent="0.45">
      <c r="B110">
        <v>26</v>
      </c>
      <c r="C110">
        <v>1</v>
      </c>
      <c r="D110" t="b">
        <v>0</v>
      </c>
      <c r="E110" t="s">
        <v>78</v>
      </c>
    </row>
    <row r="111" spans="2:5" x14ac:dyDescent="0.45">
      <c r="B111">
        <v>26</v>
      </c>
      <c r="C111">
        <v>2</v>
      </c>
      <c r="D111" t="b">
        <v>0</v>
      </c>
      <c r="E111" t="s">
        <v>79</v>
      </c>
    </row>
    <row r="112" spans="2:5" hidden="1" x14ac:dyDescent="0.45">
      <c r="B112">
        <v>26</v>
      </c>
      <c r="C112">
        <v>3</v>
      </c>
      <c r="D112" t="b">
        <v>1</v>
      </c>
      <c r="E112" t="s">
        <v>77</v>
      </c>
    </row>
    <row r="113" spans="2:5" hidden="1" x14ac:dyDescent="0.45">
      <c r="B113">
        <v>27</v>
      </c>
      <c r="C113">
        <v>0</v>
      </c>
      <c r="D113" t="b">
        <v>0</v>
      </c>
      <c r="E113" t="s">
        <v>78</v>
      </c>
    </row>
    <row r="114" spans="2:5" hidden="1" x14ac:dyDescent="0.45">
      <c r="B114">
        <v>27</v>
      </c>
      <c r="C114">
        <v>1</v>
      </c>
      <c r="D114" t="b">
        <v>0</v>
      </c>
      <c r="E114" t="s">
        <v>78</v>
      </c>
    </row>
    <row r="115" spans="2:5" x14ac:dyDescent="0.45">
      <c r="B115">
        <v>28</v>
      </c>
      <c r="C115">
        <v>0</v>
      </c>
      <c r="D115" t="b">
        <v>0</v>
      </c>
      <c r="E115" t="s">
        <v>79</v>
      </c>
    </row>
    <row r="116" spans="2:5" hidden="1" x14ac:dyDescent="0.45">
      <c r="B116">
        <v>28</v>
      </c>
      <c r="C116">
        <v>1</v>
      </c>
      <c r="D116" t="b">
        <v>0</v>
      </c>
      <c r="E116" t="s">
        <v>80</v>
      </c>
    </row>
    <row r="117" spans="2:5" x14ac:dyDescent="0.45">
      <c r="B117">
        <v>28</v>
      </c>
      <c r="C117">
        <v>2</v>
      </c>
      <c r="D117" t="b">
        <v>0</v>
      </c>
      <c r="E117" t="s">
        <v>79</v>
      </c>
    </row>
    <row r="118" spans="2:5" hidden="1" x14ac:dyDescent="0.45">
      <c r="B118">
        <v>28</v>
      </c>
      <c r="C118">
        <v>3</v>
      </c>
      <c r="D118" t="b">
        <v>1</v>
      </c>
      <c r="E118" t="s">
        <v>77</v>
      </c>
    </row>
    <row r="119" spans="2:5" hidden="1" x14ac:dyDescent="0.45">
      <c r="B119">
        <v>29</v>
      </c>
      <c r="C119">
        <v>0</v>
      </c>
      <c r="D119" t="b">
        <v>0</v>
      </c>
      <c r="E119" t="s">
        <v>76</v>
      </c>
    </row>
    <row r="120" spans="2:5" hidden="1" x14ac:dyDescent="0.45">
      <c r="B120">
        <v>29</v>
      </c>
      <c r="C120">
        <v>1</v>
      </c>
      <c r="D120" t="b">
        <v>1</v>
      </c>
      <c r="E120" t="s">
        <v>77</v>
      </c>
    </row>
    <row r="121" spans="2:5" hidden="1" x14ac:dyDescent="0.45">
      <c r="B121">
        <v>30</v>
      </c>
      <c r="C121">
        <v>0</v>
      </c>
      <c r="D121" t="b">
        <v>0</v>
      </c>
      <c r="E121" t="s">
        <v>76</v>
      </c>
    </row>
    <row r="122" spans="2:5" hidden="1" x14ac:dyDescent="0.45">
      <c r="B122">
        <v>30</v>
      </c>
      <c r="C122">
        <v>1</v>
      </c>
      <c r="D122" t="b">
        <v>0</v>
      </c>
      <c r="E122" t="s">
        <v>78</v>
      </c>
    </row>
    <row r="123" spans="2:5" x14ac:dyDescent="0.45">
      <c r="B123">
        <v>30</v>
      </c>
      <c r="C123">
        <v>2</v>
      </c>
      <c r="D123" t="b">
        <v>0</v>
      </c>
      <c r="E123" t="s">
        <v>79</v>
      </c>
    </row>
    <row r="124" spans="2:5" hidden="1" x14ac:dyDescent="0.45">
      <c r="B124">
        <v>31</v>
      </c>
      <c r="C124">
        <v>0</v>
      </c>
      <c r="D124" t="b">
        <v>0</v>
      </c>
      <c r="E124" t="s">
        <v>78</v>
      </c>
    </row>
    <row r="125" spans="2:5" x14ac:dyDescent="0.45">
      <c r="B125">
        <v>31</v>
      </c>
      <c r="C125">
        <v>1</v>
      </c>
      <c r="D125" t="b">
        <v>0</v>
      </c>
      <c r="E125" t="s">
        <v>79</v>
      </c>
    </row>
    <row r="126" spans="2:5" x14ac:dyDescent="0.45">
      <c r="B126">
        <v>31</v>
      </c>
      <c r="C126">
        <v>2</v>
      </c>
      <c r="D126" t="b">
        <v>0</v>
      </c>
      <c r="E126" t="s">
        <v>79</v>
      </c>
    </row>
    <row r="127" spans="2:5" hidden="1" x14ac:dyDescent="0.45">
      <c r="B127">
        <v>31</v>
      </c>
      <c r="C127">
        <v>3</v>
      </c>
      <c r="D127" t="b">
        <v>1</v>
      </c>
      <c r="E127" t="s">
        <v>77</v>
      </c>
    </row>
    <row r="128" spans="2:5" hidden="1" x14ac:dyDescent="0.45">
      <c r="B128">
        <v>32</v>
      </c>
      <c r="C128">
        <v>0</v>
      </c>
      <c r="D128" t="b">
        <v>0</v>
      </c>
      <c r="E128" t="s">
        <v>78</v>
      </c>
    </row>
    <row r="129" spans="2:5" hidden="1" x14ac:dyDescent="0.45">
      <c r="B129">
        <v>33</v>
      </c>
      <c r="D129" t="b">
        <v>1</v>
      </c>
      <c r="E129" t="s">
        <v>77</v>
      </c>
    </row>
    <row r="130" spans="2:5" hidden="1" x14ac:dyDescent="0.45">
      <c r="B130">
        <v>34</v>
      </c>
      <c r="D130" t="b">
        <v>0</v>
      </c>
      <c r="E130" t="s">
        <v>78</v>
      </c>
    </row>
    <row r="131" spans="2:5" hidden="1" x14ac:dyDescent="0.45">
      <c r="B131">
        <v>35</v>
      </c>
      <c r="D131" t="b">
        <v>0</v>
      </c>
      <c r="E131" t="s">
        <v>78</v>
      </c>
    </row>
    <row r="132" spans="2:5" hidden="1" x14ac:dyDescent="0.45">
      <c r="B132">
        <v>36</v>
      </c>
      <c r="C132">
        <v>0</v>
      </c>
      <c r="D132" t="b">
        <v>0</v>
      </c>
      <c r="E132" t="s">
        <v>80</v>
      </c>
    </row>
    <row r="133" spans="2:5" x14ac:dyDescent="0.45">
      <c r="B133">
        <v>36</v>
      </c>
      <c r="C133">
        <v>1</v>
      </c>
      <c r="D133" t="b">
        <v>0</v>
      </c>
      <c r="E133" t="s">
        <v>79</v>
      </c>
    </row>
    <row r="134" spans="2:5" hidden="1" x14ac:dyDescent="0.45">
      <c r="B134">
        <v>37</v>
      </c>
      <c r="C134">
        <v>0</v>
      </c>
      <c r="D134" t="b">
        <v>0</v>
      </c>
      <c r="E134" t="s">
        <v>80</v>
      </c>
    </row>
    <row r="135" spans="2:5" x14ac:dyDescent="0.45">
      <c r="B135">
        <v>37</v>
      </c>
      <c r="C135">
        <v>1</v>
      </c>
      <c r="D135" t="b">
        <v>0</v>
      </c>
      <c r="E135" t="s">
        <v>79</v>
      </c>
    </row>
    <row r="136" spans="2:5" hidden="1" x14ac:dyDescent="0.45">
      <c r="B136">
        <v>37</v>
      </c>
      <c r="C136">
        <v>2</v>
      </c>
      <c r="D136" t="b">
        <v>0</v>
      </c>
      <c r="E136" t="s">
        <v>80</v>
      </c>
    </row>
    <row r="137" spans="2:5" hidden="1" x14ac:dyDescent="0.45">
      <c r="B137">
        <v>37</v>
      </c>
      <c r="C137">
        <v>3</v>
      </c>
      <c r="D137" t="b">
        <v>1</v>
      </c>
      <c r="E137" t="s">
        <v>77</v>
      </c>
    </row>
    <row r="138" spans="2:5" x14ac:dyDescent="0.45">
      <c r="B138">
        <v>38</v>
      </c>
      <c r="C138">
        <v>0</v>
      </c>
      <c r="D138" t="b">
        <v>0</v>
      </c>
      <c r="E138" t="s">
        <v>79</v>
      </c>
    </row>
    <row r="139" spans="2:5" hidden="1" x14ac:dyDescent="0.45">
      <c r="B139">
        <v>38</v>
      </c>
      <c r="C139">
        <v>1</v>
      </c>
      <c r="D139" t="b">
        <v>1</v>
      </c>
      <c r="E139" t="s">
        <v>77</v>
      </c>
    </row>
    <row r="140" spans="2:5" x14ac:dyDescent="0.45">
      <c r="B140">
        <v>39</v>
      </c>
      <c r="C140">
        <v>0</v>
      </c>
      <c r="D140" t="b">
        <v>0</v>
      </c>
      <c r="E140" t="s">
        <v>79</v>
      </c>
    </row>
    <row r="141" spans="2:5" hidden="1" x14ac:dyDescent="0.45">
      <c r="B141">
        <v>39</v>
      </c>
      <c r="C141">
        <v>1</v>
      </c>
      <c r="D141" t="b">
        <v>1</v>
      </c>
      <c r="E141" t="s">
        <v>77</v>
      </c>
    </row>
    <row r="142" spans="2:5" hidden="1" x14ac:dyDescent="0.45">
      <c r="B142">
        <v>40</v>
      </c>
      <c r="C142">
        <v>0</v>
      </c>
      <c r="D142" t="b">
        <v>0</v>
      </c>
      <c r="E142" t="s">
        <v>78</v>
      </c>
    </row>
    <row r="143" spans="2:5" hidden="1" x14ac:dyDescent="0.45">
      <c r="B143">
        <v>40</v>
      </c>
      <c r="C143">
        <v>1</v>
      </c>
      <c r="D143" t="b">
        <v>0</v>
      </c>
      <c r="E143" t="s">
        <v>80</v>
      </c>
    </row>
    <row r="144" spans="2:5" hidden="1" x14ac:dyDescent="0.45">
      <c r="B144">
        <v>40</v>
      </c>
      <c r="C144">
        <v>2</v>
      </c>
      <c r="D144" t="b">
        <v>0</v>
      </c>
      <c r="E144" t="s">
        <v>78</v>
      </c>
    </row>
    <row r="145" spans="2:5" hidden="1" x14ac:dyDescent="0.45">
      <c r="B145">
        <v>40</v>
      </c>
      <c r="C145">
        <v>3</v>
      </c>
      <c r="D145" t="b">
        <v>0</v>
      </c>
      <c r="E145" t="s">
        <v>78</v>
      </c>
    </row>
    <row r="146" spans="2:5" hidden="1" x14ac:dyDescent="0.45">
      <c r="B146">
        <v>40</v>
      </c>
      <c r="C146">
        <v>4</v>
      </c>
      <c r="D146" t="b">
        <v>0</v>
      </c>
      <c r="E146" t="s">
        <v>78</v>
      </c>
    </row>
    <row r="147" spans="2:5" x14ac:dyDescent="0.45">
      <c r="B147">
        <v>40</v>
      </c>
      <c r="C147">
        <v>5</v>
      </c>
      <c r="D147" t="b">
        <v>0</v>
      </c>
      <c r="E147" t="s">
        <v>79</v>
      </c>
    </row>
    <row r="148" spans="2:5" hidden="1" x14ac:dyDescent="0.45">
      <c r="B148">
        <v>40</v>
      </c>
      <c r="C148">
        <v>6</v>
      </c>
      <c r="D148" t="b">
        <v>0</v>
      </c>
      <c r="E148" t="s">
        <v>78</v>
      </c>
    </row>
    <row r="149" spans="2:5" hidden="1" x14ac:dyDescent="0.45">
      <c r="B149">
        <v>41</v>
      </c>
      <c r="D149" t="b">
        <v>1</v>
      </c>
      <c r="E149" t="s">
        <v>77</v>
      </c>
    </row>
    <row r="150" spans="2:5" x14ac:dyDescent="0.45">
      <c r="B150">
        <v>42</v>
      </c>
      <c r="C150">
        <v>0</v>
      </c>
      <c r="D150" t="b">
        <v>0</v>
      </c>
      <c r="E150" t="s">
        <v>79</v>
      </c>
    </row>
    <row r="151" spans="2:5" x14ac:dyDescent="0.45">
      <c r="B151">
        <v>42</v>
      </c>
      <c r="C151">
        <v>1</v>
      </c>
      <c r="D151" t="b">
        <v>0</v>
      </c>
      <c r="E151" t="s">
        <v>79</v>
      </c>
    </row>
    <row r="152" spans="2:5" x14ac:dyDescent="0.45">
      <c r="B152">
        <v>43</v>
      </c>
      <c r="C152">
        <v>0</v>
      </c>
      <c r="D152" t="b">
        <v>0</v>
      </c>
      <c r="E152" t="s">
        <v>79</v>
      </c>
    </row>
    <row r="153" spans="2:5" hidden="1" x14ac:dyDescent="0.45">
      <c r="B153">
        <v>43</v>
      </c>
      <c r="C153">
        <v>1</v>
      </c>
      <c r="D153" t="b">
        <v>0</v>
      </c>
      <c r="E153" t="s">
        <v>78</v>
      </c>
    </row>
    <row r="154" spans="2:5" hidden="1" x14ac:dyDescent="0.45">
      <c r="B154">
        <v>43</v>
      </c>
      <c r="C154">
        <v>2</v>
      </c>
      <c r="D154" t="b">
        <v>0</v>
      </c>
      <c r="E154" t="s">
        <v>78</v>
      </c>
    </row>
    <row r="155" spans="2:5" hidden="1" x14ac:dyDescent="0.45">
      <c r="B155">
        <v>43</v>
      </c>
      <c r="C155">
        <v>3</v>
      </c>
      <c r="D155" t="b">
        <v>0</v>
      </c>
      <c r="E155" t="s">
        <v>81</v>
      </c>
    </row>
    <row r="156" spans="2:5" hidden="1" x14ac:dyDescent="0.45">
      <c r="B156">
        <v>43</v>
      </c>
      <c r="C156">
        <v>4</v>
      </c>
      <c r="D156" t="b">
        <v>0</v>
      </c>
      <c r="E156" t="s">
        <v>78</v>
      </c>
    </row>
    <row r="157" spans="2:5" hidden="1" x14ac:dyDescent="0.45">
      <c r="B157">
        <v>43</v>
      </c>
      <c r="C157">
        <v>5</v>
      </c>
      <c r="D157" t="b">
        <v>0</v>
      </c>
      <c r="E157" t="s">
        <v>78</v>
      </c>
    </row>
    <row r="158" spans="2:5" x14ac:dyDescent="0.45">
      <c r="B158">
        <v>43</v>
      </c>
      <c r="C158">
        <v>6</v>
      </c>
      <c r="D158" t="b">
        <v>0</v>
      </c>
      <c r="E158" t="s">
        <v>79</v>
      </c>
    </row>
    <row r="159" spans="2:5" hidden="1" x14ac:dyDescent="0.45">
      <c r="B159">
        <v>44</v>
      </c>
      <c r="C159">
        <v>0</v>
      </c>
      <c r="D159" t="b">
        <v>0</v>
      </c>
      <c r="E159" t="s">
        <v>78</v>
      </c>
    </row>
    <row r="160" spans="2:5" hidden="1" x14ac:dyDescent="0.45">
      <c r="B160">
        <v>44</v>
      </c>
      <c r="C160">
        <v>1</v>
      </c>
      <c r="D160" t="b">
        <v>0</v>
      </c>
      <c r="E160" t="s">
        <v>81</v>
      </c>
    </row>
    <row r="161" spans="2:5" hidden="1" x14ac:dyDescent="0.45">
      <c r="B161">
        <v>44</v>
      </c>
      <c r="C161">
        <v>2</v>
      </c>
      <c r="D161" t="b">
        <v>0</v>
      </c>
      <c r="E161" t="s">
        <v>81</v>
      </c>
    </row>
    <row r="162" spans="2:5" hidden="1" x14ac:dyDescent="0.45">
      <c r="B162">
        <v>44</v>
      </c>
      <c r="C162">
        <v>3</v>
      </c>
      <c r="D162" t="b">
        <v>0</v>
      </c>
      <c r="E162" t="s">
        <v>78</v>
      </c>
    </row>
    <row r="163" spans="2:5" hidden="1" x14ac:dyDescent="0.45">
      <c r="B163">
        <v>45</v>
      </c>
      <c r="C163">
        <v>0</v>
      </c>
      <c r="D163" t="b">
        <v>0</v>
      </c>
      <c r="E163" t="s">
        <v>78</v>
      </c>
    </row>
    <row r="164" spans="2:5" hidden="1" x14ac:dyDescent="0.45">
      <c r="B164">
        <v>45</v>
      </c>
      <c r="C164">
        <v>1</v>
      </c>
      <c r="D164" t="b">
        <v>0</v>
      </c>
      <c r="E164" t="s">
        <v>80</v>
      </c>
    </row>
    <row r="165" spans="2:5" hidden="1" x14ac:dyDescent="0.45">
      <c r="B165">
        <v>45</v>
      </c>
      <c r="C165">
        <v>2</v>
      </c>
      <c r="D165" t="b">
        <v>0</v>
      </c>
      <c r="E165" t="s">
        <v>78</v>
      </c>
    </row>
    <row r="166" spans="2:5" hidden="1" x14ac:dyDescent="0.45">
      <c r="B166">
        <v>45</v>
      </c>
      <c r="C166">
        <v>3</v>
      </c>
      <c r="D166" t="b">
        <v>1</v>
      </c>
      <c r="E166" t="s">
        <v>77</v>
      </c>
    </row>
    <row r="167" spans="2:5" x14ac:dyDescent="0.45">
      <c r="B167">
        <v>46</v>
      </c>
      <c r="C167">
        <v>0</v>
      </c>
      <c r="D167" t="b">
        <v>0</v>
      </c>
      <c r="E167" t="s">
        <v>79</v>
      </c>
    </row>
    <row r="168" spans="2:5" x14ac:dyDescent="0.45">
      <c r="B168">
        <v>46</v>
      </c>
      <c r="C168">
        <v>1</v>
      </c>
      <c r="D168" t="b">
        <v>0</v>
      </c>
      <c r="E168" t="s">
        <v>79</v>
      </c>
    </row>
    <row r="169" spans="2:5" hidden="1" x14ac:dyDescent="0.45">
      <c r="B169">
        <v>46</v>
      </c>
      <c r="C169">
        <v>2</v>
      </c>
      <c r="D169" t="b">
        <v>0</v>
      </c>
      <c r="E169" t="s">
        <v>78</v>
      </c>
    </row>
    <row r="170" spans="2:5" hidden="1" x14ac:dyDescent="0.45">
      <c r="B170">
        <v>46</v>
      </c>
      <c r="C170">
        <v>3</v>
      </c>
      <c r="D170" t="b">
        <v>1</v>
      </c>
      <c r="E170" t="s">
        <v>77</v>
      </c>
    </row>
    <row r="171" spans="2:5" hidden="1" x14ac:dyDescent="0.45">
      <c r="B171">
        <v>47</v>
      </c>
      <c r="D171" t="b">
        <v>0</v>
      </c>
      <c r="E171" t="s">
        <v>78</v>
      </c>
    </row>
    <row r="172" spans="2:5" hidden="1" x14ac:dyDescent="0.45">
      <c r="B172">
        <v>48</v>
      </c>
      <c r="C172">
        <v>0</v>
      </c>
      <c r="D172" t="b">
        <v>0</v>
      </c>
      <c r="E172" t="s">
        <v>76</v>
      </c>
    </row>
    <row r="173" spans="2:5" x14ac:dyDescent="0.45">
      <c r="B173">
        <v>48</v>
      </c>
      <c r="C173">
        <v>1</v>
      </c>
      <c r="D173" t="b">
        <v>0</v>
      </c>
      <c r="E173" t="s">
        <v>79</v>
      </c>
    </row>
    <row r="174" spans="2:5" x14ac:dyDescent="0.45">
      <c r="B174">
        <v>48</v>
      </c>
      <c r="C174">
        <v>2</v>
      </c>
      <c r="D174" t="b">
        <v>0</v>
      </c>
      <c r="E174" t="s">
        <v>79</v>
      </c>
    </row>
    <row r="175" spans="2:5" hidden="1" x14ac:dyDescent="0.45">
      <c r="B175">
        <v>48</v>
      </c>
      <c r="C175">
        <v>3</v>
      </c>
      <c r="D175" t="b">
        <v>0</v>
      </c>
      <c r="E175" t="s">
        <v>78</v>
      </c>
    </row>
    <row r="176" spans="2:5" x14ac:dyDescent="0.45">
      <c r="B176">
        <v>48</v>
      </c>
      <c r="C176">
        <v>4</v>
      </c>
      <c r="D176" t="b">
        <v>0</v>
      </c>
      <c r="E176" t="s">
        <v>79</v>
      </c>
    </row>
    <row r="177" spans="2:5" hidden="1" x14ac:dyDescent="0.45">
      <c r="B177">
        <v>48</v>
      </c>
      <c r="C177">
        <v>5</v>
      </c>
      <c r="D177" t="b">
        <v>1</v>
      </c>
      <c r="E177" t="s">
        <v>77</v>
      </c>
    </row>
    <row r="178" spans="2:5" hidden="1" x14ac:dyDescent="0.45">
      <c r="B178">
        <v>49</v>
      </c>
      <c r="C178">
        <v>0</v>
      </c>
      <c r="D178" t="b">
        <v>0</v>
      </c>
      <c r="E178" t="s">
        <v>78</v>
      </c>
    </row>
    <row r="179" spans="2:5" hidden="1" x14ac:dyDescent="0.45">
      <c r="B179">
        <v>50</v>
      </c>
      <c r="C179">
        <v>0</v>
      </c>
      <c r="D179" t="b">
        <v>0</v>
      </c>
      <c r="E179" t="s">
        <v>78</v>
      </c>
    </row>
    <row r="180" spans="2:5" hidden="1" x14ac:dyDescent="0.45">
      <c r="B180">
        <v>50</v>
      </c>
      <c r="C180">
        <v>1</v>
      </c>
      <c r="D180" t="b">
        <v>0</v>
      </c>
      <c r="E180" t="s">
        <v>76</v>
      </c>
    </row>
    <row r="181" spans="2:5" hidden="1" x14ac:dyDescent="0.45">
      <c r="B181">
        <v>50</v>
      </c>
      <c r="C181">
        <v>2</v>
      </c>
      <c r="D181" t="b">
        <v>0</v>
      </c>
      <c r="E181" t="s">
        <v>78</v>
      </c>
    </row>
    <row r="182" spans="2:5" x14ac:dyDescent="0.45">
      <c r="B182">
        <v>50</v>
      </c>
      <c r="C182">
        <v>3</v>
      </c>
      <c r="D182" t="b">
        <v>0</v>
      </c>
      <c r="E182" t="s">
        <v>79</v>
      </c>
    </row>
    <row r="183" spans="2:5" hidden="1" x14ac:dyDescent="0.45">
      <c r="B183">
        <v>50</v>
      </c>
      <c r="C183">
        <v>4</v>
      </c>
      <c r="D183" t="b">
        <v>1</v>
      </c>
      <c r="E183" t="s">
        <v>77</v>
      </c>
    </row>
    <row r="184" spans="2:5" x14ac:dyDescent="0.45">
      <c r="B184">
        <v>51</v>
      </c>
      <c r="C184">
        <v>0</v>
      </c>
      <c r="D184" t="b">
        <v>0</v>
      </c>
      <c r="E184" t="s">
        <v>79</v>
      </c>
    </row>
    <row r="185" spans="2:5" hidden="1" x14ac:dyDescent="0.45">
      <c r="B185">
        <v>51</v>
      </c>
      <c r="C185">
        <v>1</v>
      </c>
      <c r="D185" t="b">
        <v>0</v>
      </c>
      <c r="E185" t="s">
        <v>78</v>
      </c>
    </row>
    <row r="186" spans="2:5" hidden="1" x14ac:dyDescent="0.45">
      <c r="B186">
        <v>51</v>
      </c>
      <c r="C186">
        <v>2</v>
      </c>
      <c r="D186" t="b">
        <v>0</v>
      </c>
      <c r="E186" t="s">
        <v>78</v>
      </c>
    </row>
    <row r="187" spans="2:5" x14ac:dyDescent="0.45">
      <c r="B187">
        <v>51</v>
      </c>
      <c r="C187">
        <v>3</v>
      </c>
      <c r="D187" t="b">
        <v>0</v>
      </c>
      <c r="E187" t="s">
        <v>79</v>
      </c>
    </row>
    <row r="188" spans="2:5" x14ac:dyDescent="0.45">
      <c r="B188">
        <v>51</v>
      </c>
      <c r="C188">
        <v>4</v>
      </c>
      <c r="D188" t="b">
        <v>0</v>
      </c>
      <c r="E188" t="s">
        <v>79</v>
      </c>
    </row>
    <row r="189" spans="2:5" x14ac:dyDescent="0.45">
      <c r="B189">
        <v>51</v>
      </c>
      <c r="C189">
        <v>5</v>
      </c>
      <c r="D189" t="b">
        <v>0</v>
      </c>
      <c r="E189" t="s">
        <v>79</v>
      </c>
    </row>
    <row r="190" spans="2:5" hidden="1" x14ac:dyDescent="0.45">
      <c r="B190">
        <v>51</v>
      </c>
      <c r="C190">
        <v>6</v>
      </c>
      <c r="D190" t="b">
        <v>0</v>
      </c>
      <c r="E190" t="s">
        <v>78</v>
      </c>
    </row>
    <row r="191" spans="2:5" hidden="1" x14ac:dyDescent="0.45">
      <c r="B191">
        <v>52</v>
      </c>
      <c r="C191">
        <v>0</v>
      </c>
      <c r="D191" t="b">
        <v>0</v>
      </c>
      <c r="E191" t="s">
        <v>78</v>
      </c>
    </row>
    <row r="192" spans="2:5" hidden="1" x14ac:dyDescent="0.45">
      <c r="B192">
        <v>52</v>
      </c>
      <c r="C192">
        <v>1</v>
      </c>
      <c r="D192" t="b">
        <v>1</v>
      </c>
      <c r="E192" t="s">
        <v>77</v>
      </c>
    </row>
    <row r="193" spans="2:5" hidden="1" x14ac:dyDescent="0.45">
      <c r="B193">
        <v>53</v>
      </c>
      <c r="C193">
        <v>0</v>
      </c>
      <c r="D193" t="b">
        <v>0</v>
      </c>
      <c r="E193" t="s">
        <v>78</v>
      </c>
    </row>
    <row r="194" spans="2:5" hidden="1" x14ac:dyDescent="0.45">
      <c r="B194">
        <v>53</v>
      </c>
      <c r="C194">
        <v>1</v>
      </c>
      <c r="D194" t="b">
        <v>0</v>
      </c>
      <c r="E194" t="s">
        <v>81</v>
      </c>
    </row>
    <row r="195" spans="2:5" hidden="1" x14ac:dyDescent="0.45">
      <c r="B195">
        <v>53</v>
      </c>
      <c r="C195">
        <v>2</v>
      </c>
      <c r="D195" t="b">
        <v>0</v>
      </c>
      <c r="E195" t="s">
        <v>78</v>
      </c>
    </row>
    <row r="196" spans="2:5" hidden="1" x14ac:dyDescent="0.45">
      <c r="B196">
        <v>53</v>
      </c>
      <c r="C196">
        <v>3</v>
      </c>
      <c r="D196" t="b">
        <v>0</v>
      </c>
      <c r="E196" t="s">
        <v>78</v>
      </c>
    </row>
    <row r="197" spans="2:5" hidden="1" x14ac:dyDescent="0.45">
      <c r="B197">
        <v>53</v>
      </c>
      <c r="C197">
        <v>4</v>
      </c>
      <c r="D197" t="b">
        <v>0</v>
      </c>
      <c r="E197" t="s">
        <v>78</v>
      </c>
    </row>
    <row r="198" spans="2:5" hidden="1" x14ac:dyDescent="0.45">
      <c r="B198">
        <v>53</v>
      </c>
      <c r="C198">
        <v>5</v>
      </c>
      <c r="D198" t="b">
        <v>0</v>
      </c>
      <c r="E198" t="s">
        <v>78</v>
      </c>
    </row>
    <row r="199" spans="2:5" hidden="1" x14ac:dyDescent="0.45">
      <c r="B199">
        <v>53</v>
      </c>
      <c r="C199">
        <v>6</v>
      </c>
      <c r="D199" t="b">
        <v>1</v>
      </c>
      <c r="E199" t="s">
        <v>77</v>
      </c>
    </row>
    <row r="200" spans="2:5" hidden="1" x14ac:dyDescent="0.45">
      <c r="B200">
        <v>54</v>
      </c>
      <c r="C200">
        <v>0</v>
      </c>
      <c r="D200" t="b">
        <v>0</v>
      </c>
      <c r="E200" t="s">
        <v>78</v>
      </c>
    </row>
    <row r="201" spans="2:5" hidden="1" x14ac:dyDescent="0.45">
      <c r="B201">
        <v>54</v>
      </c>
      <c r="C201">
        <v>1</v>
      </c>
      <c r="D201" t="b">
        <v>0</v>
      </c>
      <c r="E201" t="s">
        <v>76</v>
      </c>
    </row>
    <row r="202" spans="2:5" hidden="1" x14ac:dyDescent="0.45">
      <c r="B202">
        <v>54</v>
      </c>
      <c r="C202">
        <v>2</v>
      </c>
      <c r="D202" t="b">
        <v>1</v>
      </c>
      <c r="E202" t="s">
        <v>77</v>
      </c>
    </row>
    <row r="203" spans="2:5" hidden="1" x14ac:dyDescent="0.45">
      <c r="B203">
        <v>55</v>
      </c>
      <c r="C203">
        <v>0</v>
      </c>
      <c r="D203" t="b">
        <v>0</v>
      </c>
      <c r="E203" t="s">
        <v>78</v>
      </c>
    </row>
    <row r="204" spans="2:5" hidden="1" x14ac:dyDescent="0.45">
      <c r="B204">
        <v>55</v>
      </c>
      <c r="C204">
        <v>1</v>
      </c>
      <c r="D204" t="b">
        <v>0</v>
      </c>
      <c r="E204" t="s">
        <v>78</v>
      </c>
    </row>
    <row r="205" spans="2:5" hidden="1" x14ac:dyDescent="0.45">
      <c r="B205">
        <v>55</v>
      </c>
      <c r="C205">
        <v>2</v>
      </c>
      <c r="D205" t="b">
        <v>0</v>
      </c>
      <c r="E205" t="s">
        <v>78</v>
      </c>
    </row>
    <row r="206" spans="2:5" hidden="1" x14ac:dyDescent="0.45">
      <c r="B206">
        <v>56</v>
      </c>
      <c r="C206">
        <v>0</v>
      </c>
      <c r="D206" t="b">
        <v>0</v>
      </c>
      <c r="E206" t="s">
        <v>78</v>
      </c>
    </row>
    <row r="207" spans="2:5" x14ac:dyDescent="0.45">
      <c r="B207">
        <v>56</v>
      </c>
      <c r="C207">
        <v>1</v>
      </c>
      <c r="D207" t="b">
        <v>0</v>
      </c>
      <c r="E207" t="s">
        <v>79</v>
      </c>
    </row>
    <row r="208" spans="2:5" x14ac:dyDescent="0.45">
      <c r="B208">
        <v>56</v>
      </c>
      <c r="C208">
        <v>2</v>
      </c>
      <c r="D208" t="b">
        <v>0</v>
      </c>
      <c r="E208" t="s">
        <v>79</v>
      </c>
    </row>
    <row r="209" spans="2:5" x14ac:dyDescent="0.45">
      <c r="B209">
        <v>56</v>
      </c>
      <c r="C209">
        <v>3</v>
      </c>
      <c r="D209" t="b">
        <v>0</v>
      </c>
      <c r="E209" t="s">
        <v>79</v>
      </c>
    </row>
    <row r="210" spans="2:5" hidden="1" x14ac:dyDescent="0.45">
      <c r="B210">
        <v>57</v>
      </c>
      <c r="D210" t="b">
        <v>1</v>
      </c>
      <c r="E210" t="s">
        <v>77</v>
      </c>
    </row>
    <row r="211" spans="2:5" x14ac:dyDescent="0.45">
      <c r="B211">
        <v>58</v>
      </c>
      <c r="C211">
        <v>0</v>
      </c>
      <c r="D211" t="b">
        <v>0</v>
      </c>
      <c r="E211" t="s">
        <v>79</v>
      </c>
    </row>
    <row r="212" spans="2:5" hidden="1" x14ac:dyDescent="0.45">
      <c r="B212">
        <v>58</v>
      </c>
      <c r="C212">
        <v>1</v>
      </c>
      <c r="D212" t="b">
        <v>1</v>
      </c>
      <c r="E212" t="s">
        <v>77</v>
      </c>
    </row>
    <row r="213" spans="2:5" hidden="1" x14ac:dyDescent="0.45">
      <c r="B213">
        <v>59</v>
      </c>
      <c r="C213">
        <v>0</v>
      </c>
      <c r="D213" t="b">
        <v>0</v>
      </c>
      <c r="E213" t="s">
        <v>78</v>
      </c>
    </row>
    <row r="214" spans="2:5" hidden="1" x14ac:dyDescent="0.45">
      <c r="B214">
        <v>59</v>
      </c>
      <c r="C214">
        <v>1</v>
      </c>
      <c r="D214" t="b">
        <v>0</v>
      </c>
      <c r="E214" t="s">
        <v>81</v>
      </c>
    </row>
    <row r="215" spans="2:5" x14ac:dyDescent="0.45">
      <c r="B215">
        <v>59</v>
      </c>
      <c r="C215">
        <v>2</v>
      </c>
      <c r="D215" t="b">
        <v>0</v>
      </c>
      <c r="E215" t="s">
        <v>79</v>
      </c>
    </row>
    <row r="216" spans="2:5" x14ac:dyDescent="0.45">
      <c r="B216">
        <v>59</v>
      </c>
      <c r="C216">
        <v>3</v>
      </c>
      <c r="D216" t="b">
        <v>0</v>
      </c>
      <c r="E216" t="s">
        <v>79</v>
      </c>
    </row>
    <row r="217" spans="2:5" hidden="1" x14ac:dyDescent="0.45">
      <c r="B217">
        <v>59</v>
      </c>
      <c r="C217">
        <v>4</v>
      </c>
      <c r="D217" t="b">
        <v>0</v>
      </c>
      <c r="E217" t="s">
        <v>78</v>
      </c>
    </row>
    <row r="218" spans="2:5" hidden="1" x14ac:dyDescent="0.45">
      <c r="B218">
        <v>59</v>
      </c>
      <c r="C218">
        <v>5</v>
      </c>
      <c r="D218" t="b">
        <v>1</v>
      </c>
      <c r="E218" t="s">
        <v>77</v>
      </c>
    </row>
    <row r="219" spans="2:5" x14ac:dyDescent="0.45">
      <c r="B219">
        <v>60</v>
      </c>
      <c r="C219">
        <v>0</v>
      </c>
      <c r="D219" t="b">
        <v>0</v>
      </c>
      <c r="E219" t="s">
        <v>79</v>
      </c>
    </row>
    <row r="220" spans="2:5" hidden="1" x14ac:dyDescent="0.45">
      <c r="B220">
        <v>60</v>
      </c>
      <c r="C220">
        <v>1</v>
      </c>
      <c r="D220" t="b">
        <v>0</v>
      </c>
      <c r="E220" t="s">
        <v>78</v>
      </c>
    </row>
    <row r="221" spans="2:5" x14ac:dyDescent="0.45">
      <c r="B221">
        <v>60</v>
      </c>
      <c r="C221">
        <v>2</v>
      </c>
      <c r="D221" t="b">
        <v>0</v>
      </c>
      <c r="E221" t="s">
        <v>79</v>
      </c>
    </row>
    <row r="222" spans="2:5" x14ac:dyDescent="0.45">
      <c r="B222">
        <v>60</v>
      </c>
      <c r="C222">
        <v>3</v>
      </c>
      <c r="D222" t="b">
        <v>0</v>
      </c>
      <c r="E222" t="s">
        <v>79</v>
      </c>
    </row>
    <row r="223" spans="2:5" hidden="1" x14ac:dyDescent="0.45">
      <c r="B223">
        <v>60</v>
      </c>
      <c r="C223">
        <v>4</v>
      </c>
      <c r="D223" t="b">
        <v>0</v>
      </c>
      <c r="E223" t="s">
        <v>78</v>
      </c>
    </row>
    <row r="224" spans="2:5" hidden="1" x14ac:dyDescent="0.45">
      <c r="B224">
        <v>61</v>
      </c>
      <c r="C224">
        <v>0</v>
      </c>
      <c r="D224" t="b">
        <v>0</v>
      </c>
      <c r="E224" t="s">
        <v>81</v>
      </c>
    </row>
    <row r="225" spans="2:5" x14ac:dyDescent="0.45">
      <c r="B225">
        <v>61</v>
      </c>
      <c r="C225">
        <v>1</v>
      </c>
      <c r="D225" t="b">
        <v>0</v>
      </c>
      <c r="E225" t="s">
        <v>79</v>
      </c>
    </row>
    <row r="226" spans="2:5" hidden="1" x14ac:dyDescent="0.45">
      <c r="B226">
        <v>61</v>
      </c>
      <c r="C226">
        <v>2</v>
      </c>
      <c r="D226" t="b">
        <v>0</v>
      </c>
      <c r="E226" t="s">
        <v>80</v>
      </c>
    </row>
    <row r="227" spans="2:5" hidden="1" x14ac:dyDescent="0.45">
      <c r="B227">
        <v>61</v>
      </c>
      <c r="C227">
        <v>3</v>
      </c>
      <c r="D227" t="b">
        <v>0</v>
      </c>
      <c r="E227" t="s">
        <v>78</v>
      </c>
    </row>
    <row r="228" spans="2:5" x14ac:dyDescent="0.45">
      <c r="B228">
        <v>61</v>
      </c>
      <c r="C228">
        <v>4</v>
      </c>
      <c r="D228" t="b">
        <v>0</v>
      </c>
      <c r="E228" t="s">
        <v>79</v>
      </c>
    </row>
    <row r="229" spans="2:5" hidden="1" x14ac:dyDescent="0.45">
      <c r="B229">
        <v>61</v>
      </c>
      <c r="C229">
        <v>5</v>
      </c>
      <c r="D229" t="b">
        <v>0</v>
      </c>
      <c r="E229" t="s">
        <v>78</v>
      </c>
    </row>
    <row r="230" spans="2:5" hidden="1" x14ac:dyDescent="0.45">
      <c r="B230">
        <v>62</v>
      </c>
      <c r="C230">
        <v>0</v>
      </c>
      <c r="D230" t="b">
        <v>0</v>
      </c>
      <c r="E230" t="s">
        <v>81</v>
      </c>
    </row>
    <row r="231" spans="2:5" x14ac:dyDescent="0.45">
      <c r="B231">
        <v>62</v>
      </c>
      <c r="C231">
        <v>1</v>
      </c>
      <c r="D231" t="b">
        <v>0</v>
      </c>
      <c r="E231" t="s">
        <v>79</v>
      </c>
    </row>
    <row r="232" spans="2:5" hidden="1" x14ac:dyDescent="0.45">
      <c r="B232">
        <v>62</v>
      </c>
      <c r="C232">
        <v>2</v>
      </c>
      <c r="D232" t="b">
        <v>0</v>
      </c>
      <c r="E232" t="s">
        <v>78</v>
      </c>
    </row>
    <row r="233" spans="2:5" x14ac:dyDescent="0.45">
      <c r="B233">
        <v>62</v>
      </c>
      <c r="C233">
        <v>3</v>
      </c>
      <c r="D233" t="b">
        <v>0</v>
      </c>
      <c r="E233" t="s">
        <v>79</v>
      </c>
    </row>
    <row r="234" spans="2:5" hidden="1" x14ac:dyDescent="0.45">
      <c r="B234">
        <v>62</v>
      </c>
      <c r="C234">
        <v>4</v>
      </c>
      <c r="D234" t="b">
        <v>0</v>
      </c>
      <c r="E234" t="s">
        <v>78</v>
      </c>
    </row>
    <row r="235" spans="2:5" hidden="1" x14ac:dyDescent="0.45">
      <c r="B235">
        <v>62</v>
      </c>
      <c r="C235">
        <v>5</v>
      </c>
      <c r="D235" t="b">
        <v>1</v>
      </c>
      <c r="E235" t="s">
        <v>77</v>
      </c>
    </row>
    <row r="236" spans="2:5" hidden="1" x14ac:dyDescent="0.45">
      <c r="B236">
        <v>63</v>
      </c>
      <c r="C236">
        <v>0</v>
      </c>
      <c r="D236" t="b">
        <v>0</v>
      </c>
      <c r="E236" t="s">
        <v>78</v>
      </c>
    </row>
    <row r="237" spans="2:5" hidden="1" x14ac:dyDescent="0.45">
      <c r="B237">
        <v>63</v>
      </c>
      <c r="C237">
        <v>1</v>
      </c>
      <c r="D237" t="b">
        <v>0</v>
      </c>
      <c r="E237" t="s">
        <v>78</v>
      </c>
    </row>
    <row r="238" spans="2:5" hidden="1" x14ac:dyDescent="0.45">
      <c r="B238">
        <v>63</v>
      </c>
      <c r="C238">
        <v>2</v>
      </c>
      <c r="D238" t="b">
        <v>0</v>
      </c>
      <c r="E238" t="s">
        <v>80</v>
      </c>
    </row>
    <row r="239" spans="2:5" hidden="1" x14ac:dyDescent="0.45">
      <c r="B239">
        <v>63</v>
      </c>
      <c r="C239">
        <v>3</v>
      </c>
      <c r="D239" t="b">
        <v>0</v>
      </c>
      <c r="E239" t="s">
        <v>78</v>
      </c>
    </row>
    <row r="240" spans="2:5" hidden="1" x14ac:dyDescent="0.45">
      <c r="B240">
        <v>63</v>
      </c>
      <c r="C240">
        <v>4</v>
      </c>
      <c r="D240" t="b">
        <v>1</v>
      </c>
      <c r="E240" t="s">
        <v>77</v>
      </c>
    </row>
    <row r="241" spans="2:5" x14ac:dyDescent="0.45">
      <c r="B241">
        <v>64</v>
      </c>
      <c r="C241">
        <v>0</v>
      </c>
      <c r="D241" t="b">
        <v>0</v>
      </c>
      <c r="E241" t="s">
        <v>79</v>
      </c>
    </row>
    <row r="242" spans="2:5" hidden="1" x14ac:dyDescent="0.45">
      <c r="B242">
        <v>64</v>
      </c>
      <c r="C242">
        <v>1</v>
      </c>
      <c r="D242" t="b">
        <v>0</v>
      </c>
      <c r="E242" t="s">
        <v>76</v>
      </c>
    </row>
    <row r="243" spans="2:5" hidden="1" x14ac:dyDescent="0.45">
      <c r="B243">
        <v>64</v>
      </c>
      <c r="C243">
        <v>2</v>
      </c>
      <c r="D243" t="b">
        <v>0</v>
      </c>
      <c r="E243" t="s">
        <v>78</v>
      </c>
    </row>
    <row r="244" spans="2:5" hidden="1" x14ac:dyDescent="0.45">
      <c r="B244">
        <v>64</v>
      </c>
      <c r="C244">
        <v>3</v>
      </c>
      <c r="D244" t="b">
        <v>0</v>
      </c>
      <c r="E244" t="s">
        <v>80</v>
      </c>
    </row>
    <row r="245" spans="2:5" hidden="1" x14ac:dyDescent="0.45">
      <c r="B245">
        <v>64</v>
      </c>
      <c r="C245">
        <v>4</v>
      </c>
      <c r="D245" t="b">
        <v>1</v>
      </c>
      <c r="E245" t="s">
        <v>77</v>
      </c>
    </row>
    <row r="246" spans="2:5" hidden="1" x14ac:dyDescent="0.45">
      <c r="B246">
        <v>65</v>
      </c>
      <c r="C246">
        <v>0</v>
      </c>
      <c r="D246" t="b">
        <v>0</v>
      </c>
      <c r="E246" t="s">
        <v>80</v>
      </c>
    </row>
    <row r="247" spans="2:5" hidden="1" x14ac:dyDescent="0.45">
      <c r="B247">
        <v>65</v>
      </c>
      <c r="C247">
        <v>1</v>
      </c>
      <c r="D247" t="b">
        <v>0</v>
      </c>
      <c r="E247" t="s">
        <v>80</v>
      </c>
    </row>
    <row r="248" spans="2:5" x14ac:dyDescent="0.45">
      <c r="B248">
        <v>65</v>
      </c>
      <c r="C248">
        <v>2</v>
      </c>
      <c r="D248" t="b">
        <v>0</v>
      </c>
      <c r="E248" t="s">
        <v>79</v>
      </c>
    </row>
    <row r="249" spans="2:5" x14ac:dyDescent="0.45">
      <c r="B249">
        <v>65</v>
      </c>
      <c r="C249">
        <v>3</v>
      </c>
      <c r="D249" t="b">
        <v>0</v>
      </c>
      <c r="E249" t="s">
        <v>79</v>
      </c>
    </row>
    <row r="250" spans="2:5" hidden="1" x14ac:dyDescent="0.45">
      <c r="B250">
        <v>65</v>
      </c>
      <c r="C250">
        <v>4</v>
      </c>
      <c r="D250" t="b">
        <v>1</v>
      </c>
      <c r="E250" t="s">
        <v>77</v>
      </c>
    </row>
    <row r="251" spans="2:5" hidden="1" x14ac:dyDescent="0.45">
      <c r="B251">
        <v>66</v>
      </c>
      <c r="C251">
        <v>0</v>
      </c>
      <c r="D251" t="b">
        <v>1</v>
      </c>
      <c r="E251" t="s">
        <v>77</v>
      </c>
    </row>
    <row r="252" spans="2:5" hidden="1" x14ac:dyDescent="0.45">
      <c r="B252">
        <v>67</v>
      </c>
      <c r="C252">
        <v>0</v>
      </c>
      <c r="D252" t="b">
        <v>0</v>
      </c>
      <c r="E252" t="s">
        <v>78</v>
      </c>
    </row>
    <row r="253" spans="2:5" hidden="1" x14ac:dyDescent="0.45">
      <c r="B253">
        <v>67</v>
      </c>
      <c r="C253">
        <v>1</v>
      </c>
      <c r="D253" t="b">
        <v>0</v>
      </c>
      <c r="E253" t="s">
        <v>78</v>
      </c>
    </row>
    <row r="254" spans="2:5" hidden="1" x14ac:dyDescent="0.45">
      <c r="B254">
        <v>67</v>
      </c>
      <c r="C254">
        <v>2</v>
      </c>
      <c r="D254" t="b">
        <v>1</v>
      </c>
      <c r="E254" t="s">
        <v>77</v>
      </c>
    </row>
    <row r="255" spans="2:5" x14ac:dyDescent="0.45">
      <c r="B255">
        <v>68</v>
      </c>
      <c r="C255">
        <v>0</v>
      </c>
      <c r="D255" t="b">
        <v>0</v>
      </c>
      <c r="E255" t="s">
        <v>79</v>
      </c>
    </row>
    <row r="256" spans="2:5" hidden="1" x14ac:dyDescent="0.45">
      <c r="B256">
        <v>68</v>
      </c>
      <c r="C256">
        <v>1</v>
      </c>
      <c r="D256" t="b">
        <v>0</v>
      </c>
      <c r="E256" t="s">
        <v>76</v>
      </c>
    </row>
    <row r="257" spans="2:5" x14ac:dyDescent="0.45">
      <c r="B257">
        <v>68</v>
      </c>
      <c r="C257">
        <v>2</v>
      </c>
      <c r="D257" t="b">
        <v>0</v>
      </c>
      <c r="E257" t="s">
        <v>79</v>
      </c>
    </row>
    <row r="258" spans="2:5" hidden="1" x14ac:dyDescent="0.45">
      <c r="B258">
        <v>68</v>
      </c>
      <c r="C258">
        <v>3</v>
      </c>
      <c r="D258" t="b">
        <v>1</v>
      </c>
      <c r="E258" t="s">
        <v>77</v>
      </c>
    </row>
    <row r="259" spans="2:5" hidden="1" x14ac:dyDescent="0.45">
      <c r="B259">
        <v>69</v>
      </c>
      <c r="C259">
        <v>0</v>
      </c>
      <c r="D259" t="b">
        <v>0</v>
      </c>
      <c r="E259" t="s">
        <v>78</v>
      </c>
    </row>
    <row r="260" spans="2:5" hidden="1" x14ac:dyDescent="0.45">
      <c r="B260">
        <v>69</v>
      </c>
      <c r="C260">
        <v>1</v>
      </c>
      <c r="D260" t="b">
        <v>0</v>
      </c>
      <c r="E260" t="s">
        <v>78</v>
      </c>
    </row>
    <row r="261" spans="2:5" hidden="1" x14ac:dyDescent="0.45">
      <c r="B261">
        <v>69</v>
      </c>
      <c r="C261">
        <v>2</v>
      </c>
      <c r="D261" t="b">
        <v>0</v>
      </c>
      <c r="E261" t="s">
        <v>78</v>
      </c>
    </row>
    <row r="262" spans="2:5" hidden="1" x14ac:dyDescent="0.45">
      <c r="B262">
        <v>69</v>
      </c>
      <c r="C262">
        <v>3</v>
      </c>
      <c r="D262" t="b">
        <v>0</v>
      </c>
      <c r="E262" t="s">
        <v>78</v>
      </c>
    </row>
    <row r="263" spans="2:5" x14ac:dyDescent="0.45">
      <c r="B263">
        <v>70</v>
      </c>
      <c r="C263">
        <v>0</v>
      </c>
      <c r="D263" t="b">
        <v>0</v>
      </c>
      <c r="E263" t="s">
        <v>79</v>
      </c>
    </row>
    <row r="264" spans="2:5" x14ac:dyDescent="0.45">
      <c r="B264">
        <v>70</v>
      </c>
      <c r="C264">
        <v>1</v>
      </c>
      <c r="D264" t="b">
        <v>0</v>
      </c>
      <c r="E264" t="s">
        <v>79</v>
      </c>
    </row>
    <row r="265" spans="2:5" x14ac:dyDescent="0.45">
      <c r="B265">
        <v>70</v>
      </c>
      <c r="C265">
        <v>2</v>
      </c>
      <c r="D265" t="b">
        <v>0</v>
      </c>
      <c r="E265" t="s">
        <v>79</v>
      </c>
    </row>
    <row r="266" spans="2:5" hidden="1" x14ac:dyDescent="0.45">
      <c r="B266">
        <v>70</v>
      </c>
      <c r="C266">
        <v>3</v>
      </c>
      <c r="D266" t="b">
        <v>0</v>
      </c>
      <c r="E266" t="s">
        <v>78</v>
      </c>
    </row>
    <row r="267" spans="2:5" hidden="1" x14ac:dyDescent="0.45">
      <c r="B267">
        <v>70</v>
      </c>
      <c r="C267">
        <v>4</v>
      </c>
      <c r="D267" t="b">
        <v>0</v>
      </c>
      <c r="E267" t="s">
        <v>80</v>
      </c>
    </row>
    <row r="268" spans="2:5" hidden="1" x14ac:dyDescent="0.45">
      <c r="B268">
        <v>71</v>
      </c>
      <c r="D268" t="b">
        <v>1</v>
      </c>
      <c r="E268" t="s">
        <v>77</v>
      </c>
    </row>
    <row r="269" spans="2:5" x14ac:dyDescent="0.45">
      <c r="B269">
        <v>72</v>
      </c>
      <c r="C269">
        <v>0</v>
      </c>
      <c r="D269" t="b">
        <v>0</v>
      </c>
      <c r="E269" t="s">
        <v>79</v>
      </c>
    </row>
    <row r="270" spans="2:5" hidden="1" x14ac:dyDescent="0.45">
      <c r="B270">
        <v>72</v>
      </c>
      <c r="C270">
        <v>1</v>
      </c>
      <c r="D270" t="b">
        <v>0</v>
      </c>
      <c r="E270" t="s">
        <v>78</v>
      </c>
    </row>
    <row r="271" spans="2:5" hidden="1" x14ac:dyDescent="0.45">
      <c r="B271">
        <v>72</v>
      </c>
      <c r="C271">
        <v>2</v>
      </c>
      <c r="D271" t="b">
        <v>0</v>
      </c>
      <c r="E271" t="s">
        <v>76</v>
      </c>
    </row>
    <row r="272" spans="2:5" x14ac:dyDescent="0.45">
      <c r="B272">
        <v>72</v>
      </c>
      <c r="C272">
        <v>3</v>
      </c>
      <c r="D272" t="b">
        <v>0</v>
      </c>
      <c r="E272" t="s">
        <v>79</v>
      </c>
    </row>
    <row r="273" spans="2:5" hidden="1" x14ac:dyDescent="0.45">
      <c r="B273">
        <v>72</v>
      </c>
      <c r="C273">
        <v>4</v>
      </c>
      <c r="D273" t="b">
        <v>0</v>
      </c>
      <c r="E273" t="s">
        <v>76</v>
      </c>
    </row>
    <row r="274" spans="2:5" hidden="1" x14ac:dyDescent="0.45">
      <c r="B274">
        <v>72</v>
      </c>
      <c r="C274">
        <v>5</v>
      </c>
      <c r="D274" t="b">
        <v>0</v>
      </c>
      <c r="E274" t="s">
        <v>78</v>
      </c>
    </row>
    <row r="275" spans="2:5" hidden="1" x14ac:dyDescent="0.45">
      <c r="B275">
        <v>72</v>
      </c>
      <c r="C275">
        <v>6</v>
      </c>
      <c r="D275" t="b">
        <v>0</v>
      </c>
      <c r="E275" t="s">
        <v>80</v>
      </c>
    </row>
    <row r="276" spans="2:5" hidden="1" x14ac:dyDescent="0.45">
      <c r="B276">
        <v>73</v>
      </c>
      <c r="D276" t="b">
        <v>1</v>
      </c>
      <c r="E276" t="s">
        <v>77</v>
      </c>
    </row>
    <row r="277" spans="2:5" hidden="1" x14ac:dyDescent="0.45">
      <c r="B277">
        <v>74</v>
      </c>
      <c r="C277">
        <v>0</v>
      </c>
      <c r="D277" t="b">
        <v>1</v>
      </c>
      <c r="E277" t="s">
        <v>77</v>
      </c>
    </row>
    <row r="278" spans="2:5" hidden="1" x14ac:dyDescent="0.45">
      <c r="B278">
        <v>75</v>
      </c>
      <c r="C278">
        <v>0</v>
      </c>
      <c r="D278" t="b">
        <v>0</v>
      </c>
      <c r="E278" t="s">
        <v>81</v>
      </c>
    </row>
    <row r="279" spans="2:5" hidden="1" x14ac:dyDescent="0.45">
      <c r="B279">
        <v>75</v>
      </c>
      <c r="C279">
        <v>1</v>
      </c>
      <c r="D279" t="b">
        <v>0</v>
      </c>
      <c r="E279" t="s">
        <v>80</v>
      </c>
    </row>
    <row r="280" spans="2:5" hidden="1" x14ac:dyDescent="0.45">
      <c r="B280">
        <v>75</v>
      </c>
      <c r="C280">
        <v>2</v>
      </c>
      <c r="D280" t="b">
        <v>0</v>
      </c>
      <c r="E280" t="s">
        <v>78</v>
      </c>
    </row>
    <row r="281" spans="2:5" hidden="1" x14ac:dyDescent="0.45">
      <c r="B281">
        <v>75</v>
      </c>
      <c r="C281">
        <v>3</v>
      </c>
      <c r="D281" t="b">
        <v>0</v>
      </c>
      <c r="E281" t="s">
        <v>81</v>
      </c>
    </row>
    <row r="282" spans="2:5" hidden="1" x14ac:dyDescent="0.45">
      <c r="B282">
        <v>76</v>
      </c>
      <c r="C282">
        <v>0</v>
      </c>
      <c r="D282" t="b">
        <v>0</v>
      </c>
      <c r="E282" t="s">
        <v>78</v>
      </c>
    </row>
    <row r="283" spans="2:5" hidden="1" x14ac:dyDescent="0.45">
      <c r="B283">
        <v>76</v>
      </c>
      <c r="C283">
        <v>1</v>
      </c>
      <c r="D283" t="b">
        <v>0</v>
      </c>
      <c r="E283" t="s">
        <v>80</v>
      </c>
    </row>
    <row r="284" spans="2:5" x14ac:dyDescent="0.45">
      <c r="B284">
        <v>76</v>
      </c>
      <c r="C284">
        <v>2</v>
      </c>
      <c r="D284" t="b">
        <v>0</v>
      </c>
      <c r="E284" t="s">
        <v>79</v>
      </c>
    </row>
    <row r="285" spans="2:5" hidden="1" x14ac:dyDescent="0.45">
      <c r="B285">
        <v>76</v>
      </c>
      <c r="C285">
        <v>3</v>
      </c>
      <c r="D285" t="b">
        <v>0</v>
      </c>
      <c r="E285" t="s">
        <v>81</v>
      </c>
    </row>
    <row r="286" spans="2:5" hidden="1" x14ac:dyDescent="0.45">
      <c r="B286">
        <v>76</v>
      </c>
      <c r="C286">
        <v>4</v>
      </c>
      <c r="D286" t="b">
        <v>0</v>
      </c>
      <c r="E286" t="s">
        <v>78</v>
      </c>
    </row>
    <row r="287" spans="2:5" hidden="1" x14ac:dyDescent="0.45">
      <c r="B287">
        <v>76</v>
      </c>
      <c r="C287">
        <v>5</v>
      </c>
      <c r="D287" t="b">
        <v>1</v>
      </c>
      <c r="E287" t="s">
        <v>77</v>
      </c>
    </row>
    <row r="288" spans="2:5" x14ac:dyDescent="0.45">
      <c r="B288">
        <v>77</v>
      </c>
      <c r="C288">
        <v>0</v>
      </c>
      <c r="D288" t="b">
        <v>0</v>
      </c>
      <c r="E288" t="s">
        <v>79</v>
      </c>
    </row>
    <row r="289" spans="2:5" hidden="1" x14ac:dyDescent="0.45">
      <c r="B289">
        <v>77</v>
      </c>
      <c r="C289">
        <v>1</v>
      </c>
      <c r="D289" t="b">
        <v>0</v>
      </c>
      <c r="E289" t="s">
        <v>81</v>
      </c>
    </row>
    <row r="290" spans="2:5" hidden="1" x14ac:dyDescent="0.45">
      <c r="B290">
        <v>77</v>
      </c>
      <c r="C290">
        <v>2</v>
      </c>
      <c r="D290" t="b">
        <v>1</v>
      </c>
      <c r="E290" t="s">
        <v>77</v>
      </c>
    </row>
    <row r="291" spans="2:5" hidden="1" x14ac:dyDescent="0.45">
      <c r="B291">
        <v>78</v>
      </c>
      <c r="C291">
        <v>0</v>
      </c>
      <c r="D291" t="b">
        <v>0</v>
      </c>
      <c r="E291" t="s">
        <v>78</v>
      </c>
    </row>
    <row r="292" spans="2:5" hidden="1" x14ac:dyDescent="0.45">
      <c r="B292">
        <v>78</v>
      </c>
      <c r="C292">
        <v>1</v>
      </c>
      <c r="D292" t="b">
        <v>0</v>
      </c>
      <c r="E292" t="s">
        <v>78</v>
      </c>
    </row>
    <row r="293" spans="2:5" hidden="1" x14ac:dyDescent="0.45">
      <c r="B293">
        <v>78</v>
      </c>
      <c r="C293">
        <v>2</v>
      </c>
      <c r="D293" t="b">
        <v>0</v>
      </c>
      <c r="E293" t="s">
        <v>78</v>
      </c>
    </row>
    <row r="294" spans="2:5" hidden="1" x14ac:dyDescent="0.45">
      <c r="B294">
        <v>78</v>
      </c>
      <c r="C294">
        <v>3</v>
      </c>
      <c r="D294" t="b">
        <v>0</v>
      </c>
      <c r="E294" t="s">
        <v>76</v>
      </c>
    </row>
    <row r="295" spans="2:5" hidden="1" x14ac:dyDescent="0.45">
      <c r="B295">
        <v>78</v>
      </c>
      <c r="C295">
        <v>4</v>
      </c>
      <c r="D295" t="b">
        <v>1</v>
      </c>
      <c r="E295" t="s">
        <v>77</v>
      </c>
    </row>
    <row r="296" spans="2:5" hidden="1" x14ac:dyDescent="0.45">
      <c r="B296">
        <v>79</v>
      </c>
      <c r="C296">
        <v>0</v>
      </c>
      <c r="D296" t="b">
        <v>0</v>
      </c>
      <c r="E296" t="s">
        <v>78</v>
      </c>
    </row>
    <row r="297" spans="2:5" hidden="1" x14ac:dyDescent="0.45">
      <c r="B297">
        <v>79</v>
      </c>
      <c r="C297">
        <v>1</v>
      </c>
      <c r="D297" t="b">
        <v>0</v>
      </c>
      <c r="E297" t="s">
        <v>76</v>
      </c>
    </row>
    <row r="298" spans="2:5" hidden="1" x14ac:dyDescent="0.45">
      <c r="B298">
        <v>79</v>
      </c>
      <c r="C298">
        <v>2</v>
      </c>
      <c r="D298" t="b">
        <v>0</v>
      </c>
      <c r="E298" t="s">
        <v>80</v>
      </c>
    </row>
    <row r="299" spans="2:5" hidden="1" x14ac:dyDescent="0.45">
      <c r="B299">
        <v>80</v>
      </c>
      <c r="C299">
        <v>0</v>
      </c>
      <c r="D299" t="b">
        <v>0</v>
      </c>
      <c r="E299" t="s">
        <v>81</v>
      </c>
    </row>
    <row r="300" spans="2:5" x14ac:dyDescent="0.45">
      <c r="B300">
        <v>80</v>
      </c>
      <c r="C300">
        <v>1</v>
      </c>
      <c r="D300" t="b">
        <v>0</v>
      </c>
      <c r="E300" t="s">
        <v>79</v>
      </c>
    </row>
    <row r="301" spans="2:5" hidden="1" x14ac:dyDescent="0.45">
      <c r="B301">
        <v>80</v>
      </c>
      <c r="C301">
        <v>2</v>
      </c>
      <c r="D301" t="b">
        <v>0</v>
      </c>
      <c r="E301" t="s">
        <v>80</v>
      </c>
    </row>
    <row r="302" spans="2:5" x14ac:dyDescent="0.45">
      <c r="B302">
        <v>80</v>
      </c>
      <c r="C302">
        <v>3</v>
      </c>
      <c r="D302" t="b">
        <v>0</v>
      </c>
      <c r="E302" t="s">
        <v>79</v>
      </c>
    </row>
    <row r="303" spans="2:5" hidden="1" x14ac:dyDescent="0.45">
      <c r="B303">
        <v>80</v>
      </c>
      <c r="C303">
        <v>4</v>
      </c>
      <c r="D303" t="b">
        <v>1</v>
      </c>
      <c r="E303" t="s">
        <v>77</v>
      </c>
    </row>
    <row r="304" spans="2:5" hidden="1" x14ac:dyDescent="0.45">
      <c r="B304">
        <v>81</v>
      </c>
      <c r="C304">
        <v>0</v>
      </c>
      <c r="D304" t="b">
        <v>0</v>
      </c>
      <c r="E304" t="s">
        <v>78</v>
      </c>
    </row>
    <row r="305" spans="2:5" x14ac:dyDescent="0.45">
      <c r="B305">
        <v>81</v>
      </c>
      <c r="C305">
        <v>1</v>
      </c>
      <c r="D305" t="b">
        <v>0</v>
      </c>
      <c r="E305" t="s">
        <v>79</v>
      </c>
    </row>
    <row r="306" spans="2:5" hidden="1" x14ac:dyDescent="0.45">
      <c r="B306">
        <v>81</v>
      </c>
      <c r="C306">
        <v>2</v>
      </c>
      <c r="D306" t="b">
        <v>0</v>
      </c>
      <c r="E306" t="s">
        <v>78</v>
      </c>
    </row>
    <row r="307" spans="2:5" x14ac:dyDescent="0.45">
      <c r="B307">
        <v>81</v>
      </c>
      <c r="C307">
        <v>3</v>
      </c>
      <c r="D307" t="b">
        <v>0</v>
      </c>
      <c r="E307" t="s">
        <v>79</v>
      </c>
    </row>
    <row r="308" spans="2:5" hidden="1" x14ac:dyDescent="0.45">
      <c r="B308">
        <v>81</v>
      </c>
      <c r="C308">
        <v>4</v>
      </c>
      <c r="D308" t="b">
        <v>0</v>
      </c>
      <c r="E308" t="s">
        <v>81</v>
      </c>
    </row>
    <row r="309" spans="2:5" x14ac:dyDescent="0.45">
      <c r="B309">
        <v>81</v>
      </c>
      <c r="C309">
        <v>5</v>
      </c>
      <c r="D309" t="b">
        <v>0</v>
      </c>
      <c r="E309" t="s">
        <v>79</v>
      </c>
    </row>
    <row r="310" spans="2:5" x14ac:dyDescent="0.45">
      <c r="B310">
        <v>82</v>
      </c>
      <c r="C310">
        <v>0</v>
      </c>
      <c r="D310" t="b">
        <v>0</v>
      </c>
      <c r="E310" t="s">
        <v>79</v>
      </c>
    </row>
    <row r="311" spans="2:5" x14ac:dyDescent="0.45">
      <c r="B311">
        <v>82</v>
      </c>
      <c r="C311">
        <v>1</v>
      </c>
      <c r="D311" t="b">
        <v>0</v>
      </c>
      <c r="E311" t="s">
        <v>79</v>
      </c>
    </row>
    <row r="312" spans="2:5" x14ac:dyDescent="0.45">
      <c r="B312">
        <v>82</v>
      </c>
      <c r="C312">
        <v>2</v>
      </c>
      <c r="D312" t="b">
        <v>0</v>
      </c>
      <c r="E312" t="s">
        <v>79</v>
      </c>
    </row>
    <row r="313" spans="2:5" x14ac:dyDescent="0.45">
      <c r="B313">
        <v>82</v>
      </c>
      <c r="C313">
        <v>3</v>
      </c>
      <c r="D313" t="b">
        <v>0</v>
      </c>
      <c r="E313" t="s">
        <v>79</v>
      </c>
    </row>
    <row r="314" spans="2:5" hidden="1" x14ac:dyDescent="0.45">
      <c r="B314">
        <v>82</v>
      </c>
      <c r="C314">
        <v>4</v>
      </c>
      <c r="D314" t="b">
        <v>0</v>
      </c>
      <c r="E314" t="s">
        <v>78</v>
      </c>
    </row>
    <row r="315" spans="2:5" x14ac:dyDescent="0.45">
      <c r="B315">
        <v>82</v>
      </c>
      <c r="C315">
        <v>5</v>
      </c>
      <c r="D315" t="b">
        <v>0</v>
      </c>
      <c r="E315" t="s">
        <v>79</v>
      </c>
    </row>
    <row r="316" spans="2:5" hidden="1" x14ac:dyDescent="0.45">
      <c r="B316">
        <v>82</v>
      </c>
      <c r="C316">
        <v>6</v>
      </c>
      <c r="D316" t="b">
        <v>1</v>
      </c>
      <c r="E316" t="s">
        <v>77</v>
      </c>
    </row>
    <row r="317" spans="2:5" x14ac:dyDescent="0.45">
      <c r="B317">
        <v>83</v>
      </c>
      <c r="C317">
        <v>0</v>
      </c>
      <c r="D317" t="b">
        <v>0</v>
      </c>
      <c r="E317" t="s">
        <v>79</v>
      </c>
    </row>
    <row r="318" spans="2:5" hidden="1" x14ac:dyDescent="0.45">
      <c r="B318">
        <v>83</v>
      </c>
      <c r="C318">
        <v>1</v>
      </c>
      <c r="D318" t="b">
        <v>0</v>
      </c>
      <c r="E318" t="s">
        <v>78</v>
      </c>
    </row>
    <row r="319" spans="2:5" hidden="1" x14ac:dyDescent="0.45">
      <c r="B319">
        <v>83</v>
      </c>
      <c r="C319">
        <v>2</v>
      </c>
      <c r="D319" t="b">
        <v>1</v>
      </c>
      <c r="E319" t="s">
        <v>77</v>
      </c>
    </row>
    <row r="320" spans="2:5" hidden="1" x14ac:dyDescent="0.45">
      <c r="B320">
        <v>84</v>
      </c>
      <c r="C320">
        <v>0</v>
      </c>
      <c r="D320" t="b">
        <v>0</v>
      </c>
      <c r="E320" t="s">
        <v>78</v>
      </c>
    </row>
    <row r="321" spans="2:5" x14ac:dyDescent="0.45">
      <c r="B321">
        <v>84</v>
      </c>
      <c r="C321">
        <v>1</v>
      </c>
      <c r="D321" t="b">
        <v>0</v>
      </c>
      <c r="E321" t="s">
        <v>79</v>
      </c>
    </row>
    <row r="322" spans="2:5" x14ac:dyDescent="0.45">
      <c r="B322">
        <v>84</v>
      </c>
      <c r="C322">
        <v>2</v>
      </c>
      <c r="D322" t="b">
        <v>0</v>
      </c>
      <c r="E322" t="s">
        <v>79</v>
      </c>
    </row>
    <row r="323" spans="2:5" hidden="1" x14ac:dyDescent="0.45">
      <c r="B323">
        <v>84</v>
      </c>
      <c r="C323">
        <v>3</v>
      </c>
      <c r="D323" t="b">
        <v>0</v>
      </c>
      <c r="E323" t="s">
        <v>78</v>
      </c>
    </row>
    <row r="324" spans="2:5" hidden="1" x14ac:dyDescent="0.45">
      <c r="B324">
        <v>84</v>
      </c>
      <c r="C324">
        <v>4</v>
      </c>
      <c r="D324" t="b">
        <v>0</v>
      </c>
      <c r="E324" t="s">
        <v>78</v>
      </c>
    </row>
    <row r="325" spans="2:5" hidden="1" x14ac:dyDescent="0.45">
      <c r="B325">
        <v>85</v>
      </c>
      <c r="C325">
        <v>0</v>
      </c>
      <c r="D325" t="b">
        <v>1</v>
      </c>
      <c r="E325" t="s">
        <v>77</v>
      </c>
    </row>
    <row r="326" spans="2:5" hidden="1" x14ac:dyDescent="0.45">
      <c r="B326">
        <v>86</v>
      </c>
      <c r="D326" t="b">
        <v>1</v>
      </c>
      <c r="E326" t="s">
        <v>77</v>
      </c>
    </row>
    <row r="327" spans="2:5" hidden="1" x14ac:dyDescent="0.45">
      <c r="B327">
        <v>87</v>
      </c>
      <c r="C327">
        <v>0</v>
      </c>
      <c r="D327" t="b">
        <v>0</v>
      </c>
      <c r="E327" t="s">
        <v>78</v>
      </c>
    </row>
    <row r="328" spans="2:5" hidden="1" x14ac:dyDescent="0.45">
      <c r="B328">
        <v>87</v>
      </c>
      <c r="C328">
        <v>1</v>
      </c>
      <c r="D328" t="b">
        <v>0</v>
      </c>
      <c r="E328" t="s">
        <v>78</v>
      </c>
    </row>
    <row r="329" spans="2:5" x14ac:dyDescent="0.45">
      <c r="B329">
        <v>87</v>
      </c>
      <c r="C329">
        <v>2</v>
      </c>
      <c r="D329" t="b">
        <v>0</v>
      </c>
      <c r="E329" t="s">
        <v>79</v>
      </c>
    </row>
    <row r="330" spans="2:5" x14ac:dyDescent="0.45">
      <c r="B330">
        <v>87</v>
      </c>
      <c r="C330">
        <v>3</v>
      </c>
      <c r="D330" t="b">
        <v>0</v>
      </c>
      <c r="E330" t="s">
        <v>79</v>
      </c>
    </row>
    <row r="331" spans="2:5" hidden="1" x14ac:dyDescent="0.45">
      <c r="B331">
        <v>87</v>
      </c>
      <c r="C331">
        <v>4</v>
      </c>
      <c r="D331" t="b">
        <v>0</v>
      </c>
      <c r="E331" t="s">
        <v>76</v>
      </c>
    </row>
    <row r="332" spans="2:5" hidden="1" x14ac:dyDescent="0.45">
      <c r="B332">
        <v>87</v>
      </c>
      <c r="C332">
        <v>5</v>
      </c>
      <c r="D332" t="b">
        <v>0</v>
      </c>
      <c r="E332" t="s">
        <v>80</v>
      </c>
    </row>
    <row r="333" spans="2:5" hidden="1" x14ac:dyDescent="0.45">
      <c r="B333">
        <v>87</v>
      </c>
      <c r="C333">
        <v>6</v>
      </c>
      <c r="D333" t="b">
        <v>1</v>
      </c>
      <c r="E333" t="s">
        <v>77</v>
      </c>
    </row>
    <row r="334" spans="2:5" hidden="1" x14ac:dyDescent="0.45">
      <c r="B334">
        <v>88</v>
      </c>
      <c r="C334">
        <v>0</v>
      </c>
      <c r="D334" t="b">
        <v>1</v>
      </c>
      <c r="E334" t="s">
        <v>77</v>
      </c>
    </row>
    <row r="335" spans="2:5" hidden="1" x14ac:dyDescent="0.45">
      <c r="B335">
        <v>89</v>
      </c>
      <c r="C335">
        <v>0</v>
      </c>
      <c r="D335" t="b">
        <v>0</v>
      </c>
      <c r="E335" t="s">
        <v>80</v>
      </c>
    </row>
    <row r="336" spans="2:5" x14ac:dyDescent="0.45">
      <c r="B336">
        <v>89</v>
      </c>
      <c r="C336">
        <v>1</v>
      </c>
      <c r="D336" t="b">
        <v>0</v>
      </c>
      <c r="E336" t="s">
        <v>79</v>
      </c>
    </row>
    <row r="337" spans="2:5" hidden="1" x14ac:dyDescent="0.45">
      <c r="B337">
        <v>89</v>
      </c>
      <c r="C337">
        <v>2</v>
      </c>
      <c r="D337" t="b">
        <v>0</v>
      </c>
      <c r="E337" t="s">
        <v>81</v>
      </c>
    </row>
    <row r="338" spans="2:5" hidden="1" x14ac:dyDescent="0.45">
      <c r="B338">
        <v>89</v>
      </c>
      <c r="C338">
        <v>3</v>
      </c>
      <c r="D338" t="b">
        <v>0</v>
      </c>
      <c r="E338" t="s">
        <v>78</v>
      </c>
    </row>
    <row r="339" spans="2:5" hidden="1" x14ac:dyDescent="0.45">
      <c r="B339">
        <v>89</v>
      </c>
      <c r="C339">
        <v>4</v>
      </c>
      <c r="D339" t="b">
        <v>0</v>
      </c>
      <c r="E339" t="s">
        <v>78</v>
      </c>
    </row>
    <row r="340" spans="2:5" hidden="1" x14ac:dyDescent="0.45">
      <c r="B340">
        <v>89</v>
      </c>
      <c r="C340">
        <v>5</v>
      </c>
      <c r="D340" t="b">
        <v>0</v>
      </c>
      <c r="E340" t="s">
        <v>78</v>
      </c>
    </row>
    <row r="341" spans="2:5" hidden="1" x14ac:dyDescent="0.45">
      <c r="B341">
        <v>89</v>
      </c>
      <c r="C341">
        <v>6</v>
      </c>
      <c r="D341" t="b">
        <v>1</v>
      </c>
      <c r="E341" t="s">
        <v>77</v>
      </c>
    </row>
    <row r="342" spans="2:5" hidden="1" x14ac:dyDescent="0.45">
      <c r="B342">
        <v>90</v>
      </c>
      <c r="C342">
        <v>0</v>
      </c>
      <c r="D342" t="b">
        <v>0</v>
      </c>
      <c r="E342" t="s">
        <v>78</v>
      </c>
    </row>
    <row r="343" spans="2:5" hidden="1" x14ac:dyDescent="0.45">
      <c r="B343">
        <v>90</v>
      </c>
      <c r="C343">
        <v>1</v>
      </c>
      <c r="D343" t="b">
        <v>0</v>
      </c>
      <c r="E343" t="s">
        <v>81</v>
      </c>
    </row>
    <row r="344" spans="2:5" hidden="1" x14ac:dyDescent="0.45">
      <c r="B344">
        <v>90</v>
      </c>
      <c r="C344">
        <v>2</v>
      </c>
      <c r="D344" t="b">
        <v>0</v>
      </c>
      <c r="E344" t="s">
        <v>78</v>
      </c>
    </row>
    <row r="345" spans="2:5" hidden="1" x14ac:dyDescent="0.45">
      <c r="B345">
        <v>90</v>
      </c>
      <c r="C345">
        <v>3</v>
      </c>
      <c r="D345" t="b">
        <v>0</v>
      </c>
      <c r="E345" t="s">
        <v>78</v>
      </c>
    </row>
    <row r="346" spans="2:5" hidden="1" x14ac:dyDescent="0.45">
      <c r="B346">
        <v>90</v>
      </c>
      <c r="C346">
        <v>4</v>
      </c>
      <c r="D346" t="b">
        <v>0</v>
      </c>
      <c r="E346" t="s">
        <v>78</v>
      </c>
    </row>
    <row r="347" spans="2:5" hidden="1" x14ac:dyDescent="0.45">
      <c r="B347">
        <v>90</v>
      </c>
      <c r="C347">
        <v>5</v>
      </c>
      <c r="D347" t="b">
        <v>0</v>
      </c>
      <c r="E347" t="s">
        <v>76</v>
      </c>
    </row>
    <row r="348" spans="2:5" hidden="1" x14ac:dyDescent="0.45">
      <c r="B348">
        <v>90</v>
      </c>
      <c r="C348">
        <v>6</v>
      </c>
      <c r="D348" t="b">
        <v>1</v>
      </c>
      <c r="E348" t="s">
        <v>77</v>
      </c>
    </row>
    <row r="349" spans="2:5" hidden="1" x14ac:dyDescent="0.45">
      <c r="B349">
        <v>91</v>
      </c>
      <c r="C349">
        <v>0</v>
      </c>
      <c r="D349" t="b">
        <v>0</v>
      </c>
      <c r="E349" t="s">
        <v>81</v>
      </c>
    </row>
    <row r="350" spans="2:5" x14ac:dyDescent="0.45">
      <c r="B350">
        <v>91</v>
      </c>
      <c r="C350">
        <v>1</v>
      </c>
      <c r="D350" t="b">
        <v>0</v>
      </c>
      <c r="E350" t="s">
        <v>79</v>
      </c>
    </row>
    <row r="351" spans="2:5" x14ac:dyDescent="0.45">
      <c r="B351">
        <v>91</v>
      </c>
      <c r="C351">
        <v>2</v>
      </c>
      <c r="D351" t="b">
        <v>0</v>
      </c>
      <c r="E351" t="s">
        <v>79</v>
      </c>
    </row>
    <row r="352" spans="2:5" hidden="1" x14ac:dyDescent="0.45">
      <c r="B352">
        <v>91</v>
      </c>
      <c r="C352">
        <v>3</v>
      </c>
      <c r="D352" t="b">
        <v>0</v>
      </c>
      <c r="E352" t="s">
        <v>80</v>
      </c>
    </row>
    <row r="353" spans="2:5" x14ac:dyDescent="0.45">
      <c r="B353">
        <v>91</v>
      </c>
      <c r="C353">
        <v>4</v>
      </c>
      <c r="D353" t="b">
        <v>0</v>
      </c>
      <c r="E353" t="s">
        <v>79</v>
      </c>
    </row>
    <row r="354" spans="2:5" hidden="1" x14ac:dyDescent="0.45">
      <c r="B354">
        <v>91</v>
      </c>
      <c r="C354">
        <v>5</v>
      </c>
      <c r="D354" t="b">
        <v>1</v>
      </c>
      <c r="E354" t="s">
        <v>77</v>
      </c>
    </row>
    <row r="355" spans="2:5" x14ac:dyDescent="0.45">
      <c r="B355">
        <v>92</v>
      </c>
      <c r="C355">
        <v>0</v>
      </c>
      <c r="D355" t="b">
        <v>0</v>
      </c>
      <c r="E355" t="s">
        <v>79</v>
      </c>
    </row>
    <row r="356" spans="2:5" hidden="1" x14ac:dyDescent="0.45">
      <c r="B356">
        <v>92</v>
      </c>
      <c r="C356">
        <v>1</v>
      </c>
      <c r="D356" t="b">
        <v>0</v>
      </c>
      <c r="E356" t="s">
        <v>76</v>
      </c>
    </row>
    <row r="357" spans="2:5" hidden="1" x14ac:dyDescent="0.45">
      <c r="B357">
        <v>92</v>
      </c>
      <c r="C357">
        <v>2</v>
      </c>
      <c r="D357" t="b">
        <v>0</v>
      </c>
      <c r="E357" t="s">
        <v>78</v>
      </c>
    </row>
    <row r="358" spans="2:5" hidden="1" x14ac:dyDescent="0.45">
      <c r="B358">
        <v>92</v>
      </c>
      <c r="C358">
        <v>3</v>
      </c>
      <c r="D358" t="b">
        <v>0</v>
      </c>
      <c r="E358" t="s">
        <v>80</v>
      </c>
    </row>
    <row r="359" spans="2:5" hidden="1" x14ac:dyDescent="0.45">
      <c r="B359">
        <v>92</v>
      </c>
      <c r="C359">
        <v>4</v>
      </c>
      <c r="D359" t="b">
        <v>1</v>
      </c>
      <c r="E359" t="s">
        <v>77</v>
      </c>
    </row>
    <row r="360" spans="2:5" x14ac:dyDescent="0.45">
      <c r="B360">
        <v>93</v>
      </c>
      <c r="D360" t="b">
        <v>0</v>
      </c>
      <c r="E360" t="s">
        <v>79</v>
      </c>
    </row>
    <row r="361" spans="2:5" x14ac:dyDescent="0.45">
      <c r="B361">
        <v>94</v>
      </c>
      <c r="C361">
        <v>0</v>
      </c>
      <c r="D361" t="b">
        <v>0</v>
      </c>
      <c r="E361" t="s">
        <v>79</v>
      </c>
    </row>
    <row r="362" spans="2:5" hidden="1" x14ac:dyDescent="0.45">
      <c r="B362">
        <v>94</v>
      </c>
      <c r="C362">
        <v>1</v>
      </c>
      <c r="D362" t="b">
        <v>0</v>
      </c>
      <c r="E362" t="s">
        <v>78</v>
      </c>
    </row>
    <row r="363" spans="2:5" hidden="1" x14ac:dyDescent="0.45">
      <c r="B363">
        <v>94</v>
      </c>
      <c r="C363">
        <v>2</v>
      </c>
      <c r="D363" t="b">
        <v>0</v>
      </c>
      <c r="E363" t="s">
        <v>76</v>
      </c>
    </row>
    <row r="364" spans="2:5" x14ac:dyDescent="0.45">
      <c r="B364">
        <v>94</v>
      </c>
      <c r="C364">
        <v>3</v>
      </c>
      <c r="D364" t="b">
        <v>0</v>
      </c>
      <c r="E364" t="s">
        <v>79</v>
      </c>
    </row>
    <row r="365" spans="2:5" hidden="1" x14ac:dyDescent="0.45">
      <c r="B365">
        <v>94</v>
      </c>
      <c r="C365">
        <v>4</v>
      </c>
      <c r="D365" t="b">
        <v>0</v>
      </c>
      <c r="E365" t="s">
        <v>80</v>
      </c>
    </row>
    <row r="366" spans="2:5" hidden="1" x14ac:dyDescent="0.45">
      <c r="B366">
        <v>94</v>
      </c>
      <c r="C366">
        <v>5</v>
      </c>
      <c r="D366" t="b">
        <v>1</v>
      </c>
      <c r="E366" t="s">
        <v>77</v>
      </c>
    </row>
    <row r="367" spans="2:5" x14ac:dyDescent="0.45">
      <c r="B367">
        <v>95</v>
      </c>
      <c r="C367">
        <v>0</v>
      </c>
      <c r="D367" t="b">
        <v>0</v>
      </c>
      <c r="E367" t="s">
        <v>79</v>
      </c>
    </row>
    <row r="368" spans="2:5" hidden="1" x14ac:dyDescent="0.45">
      <c r="B368">
        <v>95</v>
      </c>
      <c r="C368">
        <v>1</v>
      </c>
      <c r="D368" t="b">
        <v>1</v>
      </c>
      <c r="E368" t="s">
        <v>77</v>
      </c>
    </row>
    <row r="369" spans="2:5" hidden="1" x14ac:dyDescent="0.45">
      <c r="B369">
        <v>96</v>
      </c>
      <c r="D369" t="b">
        <v>1</v>
      </c>
      <c r="E369" t="s">
        <v>77</v>
      </c>
    </row>
    <row r="370" spans="2:5" hidden="1" x14ac:dyDescent="0.45">
      <c r="B370">
        <v>97</v>
      </c>
      <c r="C370">
        <v>0</v>
      </c>
      <c r="D370" t="b">
        <v>0</v>
      </c>
      <c r="E370" t="s">
        <v>76</v>
      </c>
    </row>
    <row r="371" spans="2:5" x14ac:dyDescent="0.45">
      <c r="B371">
        <v>97</v>
      </c>
      <c r="C371">
        <v>1</v>
      </c>
      <c r="D371" t="b">
        <v>0</v>
      </c>
      <c r="E371" t="s">
        <v>79</v>
      </c>
    </row>
    <row r="372" spans="2:5" hidden="1" x14ac:dyDescent="0.45">
      <c r="B372">
        <v>97</v>
      </c>
      <c r="C372">
        <v>2</v>
      </c>
      <c r="D372" t="b">
        <v>0</v>
      </c>
      <c r="E372" t="s">
        <v>78</v>
      </c>
    </row>
    <row r="373" spans="2:5" hidden="1" x14ac:dyDescent="0.45">
      <c r="B373">
        <v>97</v>
      </c>
      <c r="C373">
        <v>3</v>
      </c>
      <c r="D373" t="b">
        <v>1</v>
      </c>
      <c r="E373" t="s">
        <v>77</v>
      </c>
    </row>
    <row r="374" spans="2:5" hidden="1" x14ac:dyDescent="0.45">
      <c r="B374">
        <v>98</v>
      </c>
      <c r="C374">
        <v>0</v>
      </c>
      <c r="D374" t="b">
        <v>1</v>
      </c>
      <c r="E374" t="s">
        <v>77</v>
      </c>
    </row>
    <row r="375" spans="2:5" hidden="1" x14ac:dyDescent="0.45">
      <c r="B375">
        <v>99</v>
      </c>
      <c r="C375">
        <v>0</v>
      </c>
      <c r="D375" t="b">
        <v>1</v>
      </c>
      <c r="E375" t="s">
        <v>77</v>
      </c>
    </row>
    <row r="376" spans="2:5" x14ac:dyDescent="0.45">
      <c r="B376">
        <v>100</v>
      </c>
      <c r="C376">
        <v>0</v>
      </c>
      <c r="D376" t="b">
        <v>0</v>
      </c>
      <c r="E376" t="s">
        <v>79</v>
      </c>
    </row>
    <row r="377" spans="2:5" x14ac:dyDescent="0.45">
      <c r="B377">
        <v>100</v>
      </c>
      <c r="C377">
        <v>1</v>
      </c>
      <c r="D377" t="b">
        <v>0</v>
      </c>
      <c r="E377" t="s">
        <v>79</v>
      </c>
    </row>
    <row r="378" spans="2:5" hidden="1" x14ac:dyDescent="0.45">
      <c r="B378">
        <v>100</v>
      </c>
      <c r="C378">
        <v>2</v>
      </c>
      <c r="D378" t="b">
        <v>0</v>
      </c>
      <c r="E378" t="s">
        <v>78</v>
      </c>
    </row>
    <row r="379" spans="2:5" hidden="1" x14ac:dyDescent="0.45">
      <c r="B379">
        <v>100</v>
      </c>
      <c r="C379">
        <v>3</v>
      </c>
      <c r="D379" t="b">
        <v>0</v>
      </c>
      <c r="E379" t="s">
        <v>78</v>
      </c>
    </row>
    <row r="380" spans="2:5" hidden="1" x14ac:dyDescent="0.45">
      <c r="B380">
        <v>100</v>
      </c>
      <c r="C380">
        <v>4</v>
      </c>
      <c r="D380" t="b">
        <v>1</v>
      </c>
      <c r="E380" t="s">
        <v>77</v>
      </c>
    </row>
  </sheetData>
  <pageMargins left="0.7" right="0.7" top="0.75" bottom="0.75" header="0.3" footer="0.3"/>
  <headerFooter>
    <oddFooter>&amp;C_x000D_&amp;1#&amp;"Calibri"&amp;10&amp;K000000 OFFICIAL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BF90-AAD5-48B3-99B6-48D4FB45DA4B}">
  <dimension ref="B2:B12"/>
  <sheetViews>
    <sheetView workbookViewId="0">
      <selection activeCell="E20" sqref="E20"/>
    </sheetView>
  </sheetViews>
  <sheetFormatPr defaultRowHeight="14.25" x14ac:dyDescent="0.45"/>
  <cols>
    <col min="1" max="1" width="3.53125" customWidth="1"/>
    <col min="2" max="2" width="16.796875" bestFit="1" customWidth="1"/>
  </cols>
  <sheetData>
    <row r="2" spans="2:2" x14ac:dyDescent="0.45">
      <c r="B2" t="s">
        <v>63</v>
      </c>
    </row>
    <row r="3" spans="2:2" x14ac:dyDescent="0.45">
      <c r="B3" t="s">
        <v>64</v>
      </c>
    </row>
    <row r="4" spans="2:2" x14ac:dyDescent="0.45">
      <c r="B4" t="s">
        <v>65</v>
      </c>
    </row>
    <row r="5" spans="2:2" x14ac:dyDescent="0.45">
      <c r="B5" t="s">
        <v>66</v>
      </c>
    </row>
    <row r="6" spans="2:2" x14ac:dyDescent="0.45">
      <c r="B6" t="s">
        <v>67</v>
      </c>
    </row>
    <row r="7" spans="2:2" x14ac:dyDescent="0.45">
      <c r="B7" t="s">
        <v>68</v>
      </c>
    </row>
    <row r="8" spans="2:2" x14ac:dyDescent="0.45">
      <c r="B8" t="s">
        <v>69</v>
      </c>
    </row>
    <row r="9" spans="2:2" x14ac:dyDescent="0.45">
      <c r="B9" t="s">
        <v>70</v>
      </c>
    </row>
    <row r="10" spans="2:2" x14ac:dyDescent="0.45">
      <c r="B10" t="s">
        <v>71</v>
      </c>
    </row>
    <row r="11" spans="2:2" x14ac:dyDescent="0.45">
      <c r="B11" t="s">
        <v>72</v>
      </c>
    </row>
    <row r="12" spans="2:2" x14ac:dyDescent="0.45">
      <c r="B12" t="s">
        <v>73</v>
      </c>
    </row>
  </sheetData>
  <pageMargins left="0.7" right="0.7" top="0.75" bottom="0.75" header="0.3" footer="0.3"/>
  <headerFooter>
    <oddFooter>&amp;C_x000D_&amp;1#&amp;"Calibri"&amp;10&amp;K000000 OFFICIAL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32B753E1DD04C8E7BE5EA4F9D518D" ma:contentTypeVersion="15" ma:contentTypeDescription="Create a new document." ma:contentTypeScope="" ma:versionID="a179b060dd0dbdd52562918fd8702c43">
  <xsd:schema xmlns:xsd="http://www.w3.org/2001/XMLSchema" xmlns:xs="http://www.w3.org/2001/XMLSchema" xmlns:p="http://schemas.microsoft.com/office/2006/metadata/properties" xmlns:ns2="ce6787bb-33e1-438d-9f09-838ad8946d2a" xmlns:ns3="43404ea2-dd39-419f-8ff3-7562984fa181" targetNamespace="http://schemas.microsoft.com/office/2006/metadata/properties" ma:root="true" ma:fieldsID="618616846c11859fa237725794239b9b" ns2:_="" ns3:_="">
    <xsd:import namespace="ce6787bb-33e1-438d-9f09-838ad8946d2a"/>
    <xsd:import namespace="43404ea2-dd39-419f-8ff3-7562984fa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787bb-33e1-438d-9f09-838ad8946d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eb6393-bae5-439c-9df7-ed1047f922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04ea2-dd39-419f-8ff3-7562984fa18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ce27e1c-2133-4305-b601-bdfab8692048}" ma:internalName="TaxCatchAll" ma:showField="CatchAllData" ma:web="43404ea2-dd39-419f-8ff3-7562984fa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404ea2-dd39-419f-8ff3-7562984fa181" xsi:nil="true"/>
    <lcf76f155ced4ddcb4097134ff3c332f xmlns="ce6787bb-33e1-438d-9f09-838ad8946d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41D66E-FE32-4B9E-B2A7-CB06E8812C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6787bb-33e1-438d-9f09-838ad8946d2a"/>
    <ds:schemaRef ds:uri="43404ea2-dd39-419f-8ff3-7562984fa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640BAE-8CA8-41C2-BFAC-5A736858B9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678432-4623-453F-B9A2-D0B84CFF039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C81E0DB-5F5D-4F24-82AB-E5B4B6D28EB7}">
  <ds:schemaRefs>
    <ds:schemaRef ds:uri="http://schemas.microsoft.com/office/2006/metadata/properties"/>
    <ds:schemaRef ds:uri="http://schemas.microsoft.com/office/infopath/2007/PartnerControls"/>
    <ds:schemaRef ds:uri="43404ea2-dd39-419f-8ff3-7562984fa181"/>
    <ds:schemaRef ds:uri="ce6787bb-33e1-438d-9f09-838ad8946d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Referrals</vt:lpstr>
      <vt:lpstr>Call Log</vt:lpstr>
      <vt:lpstr>Call Log Full</vt:lpstr>
      <vt:lpstr>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Irwin</dc:creator>
  <cp:lastModifiedBy>Ismail Olatunji</cp:lastModifiedBy>
  <dcterms:created xsi:type="dcterms:W3CDTF">2025-10-21T10:58:50Z</dcterms:created>
  <dcterms:modified xsi:type="dcterms:W3CDTF">2026-04-01T22:53:01Z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7471b1-27ab-4640-9264-e69a67407ca3_Enabled">
    <vt:lpwstr>true</vt:lpwstr>
  </property>
  <property fmtid="{D5CDD505-2E9C-101B-9397-08002B2CF9AE}" pid="3" name="MSIP_Label_a17471b1-27ab-4640-9264-e69a67407ca3_SetDate">
    <vt:lpwstr>2025-10-22T13:32:51Z</vt:lpwstr>
  </property>
  <property fmtid="{D5CDD505-2E9C-101B-9397-08002B2CF9AE}" pid="4" name="MSIP_Label_a17471b1-27ab-4640-9264-e69a67407ca3_Method">
    <vt:lpwstr>Standard</vt:lpwstr>
  </property>
  <property fmtid="{D5CDD505-2E9C-101B-9397-08002B2CF9AE}" pid="5" name="MSIP_Label_a17471b1-27ab-4640-9264-e69a67407ca3_Name">
    <vt:lpwstr>BCC - OFFICIAL</vt:lpwstr>
  </property>
  <property fmtid="{D5CDD505-2E9C-101B-9397-08002B2CF9AE}" pid="6" name="MSIP_Label_a17471b1-27ab-4640-9264-e69a67407ca3_SiteId">
    <vt:lpwstr>699ace67-d2e4-4bcd-b303-d2bbe2b9bbf1</vt:lpwstr>
  </property>
  <property fmtid="{D5CDD505-2E9C-101B-9397-08002B2CF9AE}" pid="7" name="MSIP_Label_a17471b1-27ab-4640-9264-e69a67407ca3_ActionId">
    <vt:lpwstr>52b58c83-b8d3-4908-bf3b-05b60da83705</vt:lpwstr>
  </property>
  <property fmtid="{D5CDD505-2E9C-101B-9397-08002B2CF9AE}" pid="8" name="MSIP_Label_a17471b1-27ab-4640-9264-e69a67407ca3_ContentBits">
    <vt:lpwstr>2</vt:lpwstr>
  </property>
  <property fmtid="{D5CDD505-2E9C-101B-9397-08002B2CF9AE}" pid="9" name="MSIP_Label_a17471b1-27ab-4640-9264-e69a67407ca3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0x01010033232B753E1DD04C8E7BE5EA4F9D518D</vt:lpwstr>
  </property>
</Properties>
</file>